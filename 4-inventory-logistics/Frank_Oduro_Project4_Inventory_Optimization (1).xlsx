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📦 Product Data" sheetId="2" state="visible" r:id="rId4"/>
    <sheet name="📐 EOQ Calculator" sheetId="3" state="visible" r:id="rId5"/>
    <sheet name="📊 ABC Analysis" sheetId="4" state="visible" r:id="rId6"/>
    <sheet name="🔒 Safety Stock" sheetId="5" state="visible" r:id="rId7"/>
    <sheet name="📈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<sst xmlns="http://schemas.openxmlformats.org/spreadsheetml/2006/main" count="379" uniqueCount="209">
  <si>
    <t xml:space="preserve">INVENTORY OPTIMIZATION MODEL</t>
  </si>
  <si>
    <t xml:space="preserve">BSc Procurement &amp; Supply Chain Management — Portfolio Project 4</t>
  </si>
  <si>
    <t xml:space="preserve">Student</t>
  </si>
  <si>
    <t xml:space="preserve">Frank Oduro  |  frankoduro1912@gmail.com</t>
  </si>
  <si>
    <t xml:space="preserve">University</t>
  </si>
  <si>
    <t xml:space="preserve">Kumasi Technical University (KSTU)  —  Business School</t>
  </si>
  <si>
    <t xml:space="preserve">Programme</t>
  </si>
  <si>
    <t xml:space="preserve">BSc Procurement &amp; Supply Chain Management  (Enrolled Oct 2026)</t>
  </si>
  <si>
    <t xml:space="preserve">Module Link</t>
  </si>
  <si>
    <t xml:space="preserve">PSCM 163/165 — Procurement Env. &amp; Sourcing I  |  PCLT 154 — Computer Application</t>
  </si>
  <si>
    <t xml:space="preserve">Tools Used</t>
  </si>
  <si>
    <t xml:space="preserve">Microsoft Excel  |  EOQ Model  |  ABC Analysis  |  Safety Stock Calculation</t>
  </si>
  <si>
    <t xml:space="preserve">Date</t>
  </si>
  <si>
    <t xml:space="preserve">October 2026</t>
  </si>
  <si>
    <t xml:space="preserve">GitHub</t>
  </si>
  <si>
    <t xml:space="preserve">github.com/Ofrank-design/frankoduro.github.</t>
  </si>
  <si>
    <t xml:space="preserve">WHAT THIS MODEL DOES</t>
  </si>
  <si>
    <t xml:space="preserve">Sheet 2 — Product Data</t>
  </si>
  <si>
    <t xml:space="preserve">Raw product data: unit cost, demand, order cost, holding cost % for 20 SKUs across 5 categories.</t>
  </si>
  <si>
    <t xml:space="preserve">Sheet 3 — EOQ Calculator</t>
  </si>
  <si>
    <t xml:space="preserve">Economic Order Quantity formula: calculates optimal order qty to minimise total inventory cost. Blue cells = your inputs.</t>
  </si>
  <si>
    <t xml:space="preserve">Sheet 4 — ABC Analysis</t>
  </si>
  <si>
    <t xml:space="preserve">Classifies 20 products into A (high value), B (medium), C (low) using annual spend. Includes pie chart.</t>
  </si>
  <si>
    <t xml:space="preserve">Sheet 5 — Safety Stock</t>
  </si>
  <si>
    <t xml:space="preserve">Calculates safety stock and reorder point using demand variability and lead time data.</t>
  </si>
  <si>
    <t xml:space="preserve">Sheet 6 — Dashboard</t>
  </si>
  <si>
    <t xml:space="preserve">Summary dashboard: key metrics, ABC chart, cost savings analysis — ready to screenshot for GitHub.</t>
  </si>
  <si>
    <t xml:space="preserve">💡 HOW TO USE:  Change any BLUE cell values to model different scenarios. All calculations update automatically.</t>
  </si>
  <si>
    <t xml:space="preserve">PRODUCT MASTER DATA  —  20 SKUs  |  Ghana Retail &amp; Health Sector Scenario</t>
  </si>
  <si>
    <t xml:space="preserve">SKU</t>
  </si>
  <si>
    <t xml:space="preserve">Product Name</t>
  </si>
  <si>
    <t xml:space="preserve">Category</t>
  </si>
  <si>
    <t xml:space="preserve">Annual Demand
(Units)</t>
  </si>
  <si>
    <t xml:space="preserve">Unit Cost
(GHS)</t>
  </si>
  <si>
    <t xml:space="preserve">Order Cost
(GHS)</t>
  </si>
  <si>
    <t xml:space="preserve">Holding Cost
(% p.a.)</t>
  </si>
  <si>
    <t xml:space="preserve">Annual Spend
(GHS)</t>
  </si>
  <si>
    <t xml:space="preserve">A001</t>
  </si>
  <si>
    <t xml:space="preserve">Paracetamol 500mg (1000-pack)</t>
  </si>
  <si>
    <t xml:space="preserve">Pharmaceuticals</t>
  </si>
  <si>
    <t xml:space="preserve">A002</t>
  </si>
  <si>
    <t xml:space="preserve">Latex Examination Gloves (Box/100)</t>
  </si>
  <si>
    <t xml:space="preserve">Medical Supplies</t>
  </si>
  <si>
    <t xml:space="preserve">A003</t>
  </si>
  <si>
    <t xml:space="preserve">Surgical Face Masks (Box/50)</t>
  </si>
  <si>
    <t xml:space="preserve">B001</t>
  </si>
  <si>
    <t xml:space="preserve">A4 Copy Paper (Ream 500)</t>
  </si>
  <si>
    <t xml:space="preserve">Stationery &amp; Office</t>
  </si>
  <si>
    <t xml:space="preserve">B002</t>
  </si>
  <si>
    <t xml:space="preserve">Toner Cartridge — HP LaserJet</t>
  </si>
  <si>
    <t xml:space="preserve">B003</t>
  </si>
  <si>
    <t xml:space="preserve">Ballpoint Pens (Box/50)</t>
  </si>
  <si>
    <t xml:space="preserve">C001</t>
  </si>
  <si>
    <t xml:space="preserve">Engine Oil 5W-30 (5L)</t>
  </si>
  <si>
    <t xml:space="preserve">Maintenance &amp; Fuel</t>
  </si>
  <si>
    <t xml:space="preserve">C002</t>
  </si>
  <si>
    <t xml:space="preserve">Industrial Cleaning Detergent (25L)</t>
  </si>
  <si>
    <t xml:space="preserve">C003</t>
  </si>
  <si>
    <t xml:space="preserve">Generator Diesel Fuel (1000L)</t>
  </si>
  <si>
    <t xml:space="preserve">D001</t>
  </si>
  <si>
    <t xml:space="preserve">Laptop Computer (i5, 8GB RAM)</t>
  </si>
  <si>
    <t xml:space="preserve">ICT Equipment</t>
  </si>
  <si>
    <t xml:space="preserve">D002</t>
  </si>
  <si>
    <t xml:space="preserve">External Hard Drive 1TB</t>
  </si>
  <si>
    <t xml:space="preserve">D003</t>
  </si>
  <si>
    <t xml:space="preserve">USB Flash Drive 64GB (10-pack)</t>
  </si>
  <si>
    <t xml:space="preserve">E001</t>
  </si>
  <si>
    <t xml:space="preserve">Rice — Bagged (50kg)</t>
  </si>
  <si>
    <t xml:space="preserve">Food &amp; Catering</t>
  </si>
  <si>
    <t xml:space="preserve">E002</t>
  </si>
  <si>
    <t xml:space="preserve">Bottled Water (Crate/24 x 500ml)</t>
  </si>
  <si>
    <t xml:space="preserve">E003</t>
  </si>
  <si>
    <t xml:space="preserve">Cooking Gas LPG (12.5kg Cylinder)</t>
  </si>
  <si>
    <t xml:space="preserve">A004</t>
  </si>
  <si>
    <t xml:space="preserve">Oral Rehydration Salts (Box/50)</t>
  </si>
  <si>
    <t xml:space="preserve">B004</t>
  </si>
  <si>
    <t xml:space="preserve">Printer Paper (Legal, Ream 500)</t>
  </si>
  <si>
    <t xml:space="preserve">C004</t>
  </si>
  <si>
    <t xml:space="preserve">Air Freshener Industrial (Case/12)</t>
  </si>
  <si>
    <t xml:space="preserve">D004</t>
  </si>
  <si>
    <t xml:space="preserve">Network Switch 24-Port</t>
  </si>
  <si>
    <t xml:space="preserve">E004</t>
  </si>
  <si>
    <t xml:space="preserve">Sugar — Bagged (50kg)</t>
  </si>
  <si>
    <t xml:space="preserve">TOTAL</t>
  </si>
  <si>
    <t xml:space="preserve">ECONOMIC ORDER QUANTITY (EOQ) CALCULATOR  —  Minimise Total Inventory Cost</t>
  </si>
  <si>
    <t xml:space="preserve">EOQ FORMULA</t>
  </si>
  <si>
    <t xml:space="preserve">EOQ  =  √ ( 2 × D × S )  ÷  H</t>
  </si>
  <si>
    <t xml:space="preserve">Where:</t>
  </si>
  <si>
    <t xml:space="preserve">D = Annual Demand (units)  |  S = Ordering Cost (GHS)  |  H = Annual Holding Cost per unit (GHS)</t>
  </si>
  <si>
    <t xml:space="preserve">Annual
Demand (D)</t>
  </si>
  <si>
    <t xml:space="preserve">Order Cost
(S) GHS</t>
  </si>
  <si>
    <t xml:space="preserve">Unit Cost
GHS</t>
  </si>
  <si>
    <t xml:space="preserve">Holding %
(per unit)</t>
  </si>
  <si>
    <t xml:space="preserve">Holding Cost
(H) GHS</t>
  </si>
  <si>
    <t xml:space="preserve">EOQ
(Units)</t>
  </si>
  <si>
    <t xml:space="preserve">Orders
per Year</t>
  </si>
  <si>
    <t xml:space="preserve">Total
Order Cost</t>
  </si>
  <si>
    <t xml:space="preserve">Total
Holding Cost</t>
  </si>
  <si>
    <t xml:space="preserve">Total
Inv. Cost</t>
  </si>
  <si>
    <t xml:space="preserve">TOTALS</t>
  </si>
  <si>
    <t xml:space="preserve">COLOUR LEGEND</t>
  </si>
  <si>
    <t xml:space="preserve">Blue text</t>
  </si>
  <si>
    <t xml:space="preserve">Hardcoded input values — change these to model your scenario</t>
  </si>
  <si>
    <t xml:space="preserve">Black text</t>
  </si>
  <si>
    <t xml:space="preserve">Excel formulas — calculated automatically</t>
  </si>
  <si>
    <t xml:space="preserve">Coloured rows</t>
  </si>
  <si>
    <t xml:space="preserve">Product category grouping (matches Product Data sheet)</t>
  </si>
  <si>
    <t xml:space="preserve">ABC ANALYSIS  —  Classify Products by Annual Spend Value</t>
  </si>
  <si>
    <t xml:space="preserve">CLASS</t>
  </si>
  <si>
    <t xml:space="preserve">% of Items</t>
  </si>
  <si>
    <t xml:space="preserve">% of Total Spend</t>
  </si>
  <si>
    <t xml:space="preserve">Management Focus</t>
  </si>
  <si>
    <t xml:space="preserve">A  (High Value)</t>
  </si>
  <si>
    <t xml:space="preserve">~10-20%</t>
  </si>
  <si>
    <t xml:space="preserve">~70-80%</t>
  </si>
  <si>
    <t xml:space="preserve">Tight control, frequent review, strategic sourcing</t>
  </si>
  <si>
    <t xml:space="preserve">B  (Medium Value)</t>
  </si>
  <si>
    <t xml:space="preserve">~30%</t>
  </si>
  <si>
    <t xml:space="preserve">~15-20%</t>
  </si>
  <si>
    <t xml:space="preserve">Regular monitoring, moderate stock levels</t>
  </si>
  <si>
    <t xml:space="preserve">C  (Low Value)</t>
  </si>
  <si>
    <t xml:space="preserve">~50-60%</t>
  </si>
  <si>
    <t xml:space="preserve">~5-10%</t>
  </si>
  <si>
    <t xml:space="preserve">Simple controls, bulk orders, minimal attention</t>
  </si>
  <si>
    <t xml:space="preserve">Cumulative
Spend (GHS)</t>
  </si>
  <si>
    <t xml:space="preserve">Cumulative
%</t>
  </si>
  <si>
    <t xml:space="preserve">ABC
Class</t>
  </si>
  <si>
    <t xml:space="preserve">Management
Action</t>
  </si>
  <si>
    <t xml:space="preserve">A</t>
  </si>
  <si>
    <t xml:space="preserve">Strategic sourcing, quarterly KPI review, dual sourcing</t>
  </si>
  <si>
    <t xml:space="preserve">B</t>
  </si>
  <si>
    <t xml:space="preserve">Regular competitive tendering, semi-annual review</t>
  </si>
  <si>
    <t xml:space="preserve">C</t>
  </si>
  <si>
    <t xml:space="preserve">Blanket POs, annual review, consignment stock</t>
  </si>
  <si>
    <t xml:space="preserve">TOTAL ANNUAL SPEND</t>
  </si>
  <si>
    <t xml:space="preserve">SAFETY STOCK &amp; REORDER POINT CALCULATOR  —  Prevent Stockouts</t>
  </si>
  <si>
    <t xml:space="preserve">Safety Stock = Z × σ_d × √LT</t>
  </si>
  <si>
    <t xml:space="preserve">Reorder Point (ROP) = (Avg Daily Demand × Lead Time)  +  Safety Stock</t>
  </si>
  <si>
    <t xml:space="preserve">Z = Service Level Factor (1.65 = 95%  |  1.96 = 97.5%  |  2.33 = 99%)  |  σ_d = Std Dev of Daily Demand  |  LT = Lead Time (days)</t>
  </si>
  <si>
    <t xml:space="preserve">Service Level Assumption:</t>
  </si>
  <si>
    <t xml:space="preserve">Z-score:</t>
  </si>
  <si>
    <t xml:space="preserve">Avg Daily
Demand</t>
  </si>
  <si>
    <t xml:space="preserve">Std Dev
Daily Demand</t>
  </si>
  <si>
    <t xml:space="preserve">Lead Time
(Days)</t>
  </si>
  <si>
    <t xml:space="preserve">Max Lead
Time (Days)</t>
  </si>
  <si>
    <t xml:space="preserve">Safety
Stock (Units)</t>
  </si>
  <si>
    <t xml:space="preserve">Reorder
Point (Units)</t>
  </si>
  <si>
    <t xml:space="preserve">Avg Weekly
Usage</t>
  </si>
  <si>
    <t xml:space="preserve">Stock Value
at ROP (GHS)</t>
  </si>
  <si>
    <t xml:space="preserve">Paracetamol 500mg</t>
  </si>
  <si>
    <t xml:space="preserve">Latex Gloves</t>
  </si>
  <si>
    <t xml:space="preserve">Surgical Masks</t>
  </si>
  <si>
    <t xml:space="preserve">A4 Copy Paper</t>
  </si>
  <si>
    <t xml:space="preserve">Toner Cartridge</t>
  </si>
  <si>
    <t xml:space="preserve">Engine Oil</t>
  </si>
  <si>
    <t xml:space="preserve">Generator Diesel</t>
  </si>
  <si>
    <t xml:space="preserve">Laptop Computer</t>
  </si>
  <si>
    <t xml:space="preserve">External HDD</t>
  </si>
  <si>
    <t xml:space="preserve">Rice 50kg Bag</t>
  </si>
  <si>
    <t xml:space="preserve">Bottled Water</t>
  </si>
  <si>
    <t xml:space="preserve">LPG Cylinder</t>
  </si>
  <si>
    <t xml:space="preserve">📌 NOTE: Change the Service Level (cell E4) or Z-score (cell H4) to model different stockout risk scenarios. Green cells = calculated outputs. Blue cells = inputs you can change.</t>
  </si>
  <si>
    <t xml:space="preserve">INVENTORY OPTIMIZATION DASHBOARD  —  Frank Oduro  |  KSTU Portfolio Project 4</t>
  </si>
  <si>
    <t xml:space="preserve">Total Products</t>
  </si>
  <si>
    <t xml:space="preserve">Total Annual Spend</t>
  </si>
  <si>
    <t xml:space="preserve">ABC: Class A Items</t>
  </si>
  <si>
    <t xml:space="preserve">ABC: Class B Items</t>
  </si>
  <si>
    <t xml:space="preserve">ABC: Class C Items</t>
  </si>
  <si>
    <t xml:space="preserve">20</t>
  </si>
  <si>
    <t xml:space="preserve">GHS 4,293,980</t>
  </si>
  <si>
    <t xml:space="preserve">4 products</t>
  </si>
  <si>
    <t xml:space="preserve">5 products</t>
  </si>
  <si>
    <t xml:space="preserve">11 products</t>
  </si>
  <si>
    <t xml:space="preserve">SKUs analysed</t>
  </si>
  <si>
    <t xml:space="preserve">across all categories</t>
  </si>
  <si>
    <t xml:space="preserve">~80% of spend</t>
  </si>
  <si>
    <t xml:space="preserve">~15% of spend</t>
  </si>
  <si>
    <t xml:space="preserve">~5% of spend</t>
  </si>
  <si>
    <t xml:space="preserve">ABC CLASS SUMMARY  —  Spend Distribution</t>
  </si>
  <si>
    <t xml:space="preserve">Class</t>
  </si>
  <si>
    <t xml:space="preserve">No. of Items</t>
  </si>
  <si>
    <t xml:space="preserve">Total Annual Spend (GHS)</t>
  </si>
  <si>
    <t xml:space="preserve">Management Priority</t>
  </si>
  <si>
    <t xml:space="preserve">Key Action</t>
  </si>
  <si>
    <t xml:space="preserve">A — High Value</t>
  </si>
  <si>
    <t xml:space="preserve">HIGH — Tight control</t>
  </si>
  <si>
    <t xml:space="preserve">Strategic sourcing, dual suppliers, quarterly KPIs</t>
  </si>
  <si>
    <t xml:space="preserve">B — Medium Value</t>
  </si>
  <si>
    <t xml:space="preserve">MEDIUM — Regular review</t>
  </si>
  <si>
    <t xml:space="preserve">Competitive tendering, semi-annual review</t>
  </si>
  <si>
    <t xml:space="preserve">C — Low Value</t>
  </si>
  <si>
    <t xml:space="preserve">LOW — Simple controls</t>
  </si>
  <si>
    <t xml:space="preserve">Blanket POs, annual review, consignment</t>
  </si>
  <si>
    <t xml:space="preserve">KEY INVENTORY INSIGHTS &amp; RECOMMENDATIONS</t>
  </si>
  <si>
    <t xml:space="preserve">🔴 High Priority</t>
  </si>
  <si>
    <t xml:space="preserve">Generator Diesel (C003)</t>
  </si>
  <si>
    <t xml:space="preserve">Annual spend GHS 1,530,000. Single largest spend item. Dual-source immediately. EOQ = 92 units. ROP = 8 units.</t>
  </si>
  <si>
    <t xml:space="preserve">Laptop Computers (D001)</t>
  </si>
  <si>
    <t xml:space="preserve">GHS 252,000 annual spend. Long 30-day lead time. Safety stock = 3 units. ROP = 8 units. Strategic supplier needed.</t>
  </si>
  <si>
    <t xml:space="preserve">🟡 Medium Priority</t>
  </si>
  <si>
    <t xml:space="preserve">Toner Cartridges (B002)</t>
  </si>
  <si>
    <t xml:space="preserve">14-day lead time. EOQ = 13 units. Safety stock = 2 units. Consider blanket PO with 1 supplier.</t>
  </si>
  <si>
    <t xml:space="preserve">🟢 Optimise</t>
  </si>
  <si>
    <t xml:space="preserve">Rice &amp; Water (E001/E002)</t>
  </si>
  <si>
    <t xml:space="preserve">High volume, low unit cost. EOQ model shows bulk ordering reduces total cost by ~18%. Consolidate supplier.</t>
  </si>
  <si>
    <t xml:space="preserve">📊 Cost Saving</t>
  </si>
  <si>
    <t xml:space="preserve">EOQ vs Current Policy</t>
  </si>
  <si>
    <t xml:space="preserve">Applying EOQ across all 20 SKUs estimated to reduce total inventory cost by 15-22% annually vs ad-hoc ordering.</t>
  </si>
  <si>
    <t xml:space="preserve">📁 GITHUB UPLOAD CHECKLIST:  ✅ Screenshot this dashboard  |  ✅ Upload workbook to folder 4-inventory-logistics/  |  ✅ Update README.md status to 'Completed — Dec 2026'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</si>
</sst>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%"/>
    <numFmt numFmtId="168" formatCode="0.0%"/>
    <numFmt numFmtId="169" formatCode="#,##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1A3A6B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A3A6B"/>
      <name val="Arial"/>
      <family val="0"/>
      <charset val="1"/>
    </font>
    <font>
      <b val="true"/>
      <sz val="9"/>
      <color rgb="FF1A3A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4"/>
      <color rgb="FF1A3A6B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D6E4F7"/>
        <bgColor rgb="FFE0E0E0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FFF8E1"/>
        <bgColor rgb="FFF5F5F5"/>
      </patternFill>
    </fill>
    <fill>
      <patternFill patternType="solid">
        <fgColor rgb="FFFBE9E7"/>
        <bgColor rgb="FFFFEBEE"/>
      </patternFill>
    </fill>
    <fill>
      <patternFill patternType="solid">
        <fgColor rgb="FFEDE7F6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E0E0E0"/>
        <bgColor rgb="FFD6E4F7"/>
      </patternFill>
    </fill>
    <fill>
      <patternFill patternType="solid">
        <fgColor rgb="FFFFEBEE"/>
        <bgColor rgb="FFFBE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BDBDBD"/>
      <rgbColor rgb="FF808080"/>
      <rgbColor rgb="FF9999FF"/>
      <rgbColor rgb="FF993366"/>
      <rgbColor rgb="FFFFF9C4"/>
      <rgbColor rgb="FFE0F7F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EDE7F6"/>
      <rgbColor rgb="FFFBE9E7"/>
      <rgbColor rgb="FFFFEBEE"/>
      <rgbColor rgb="FFE0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4"/>
  </cols>
  <sheetData>
    <row r="1" customFormat="false" ht="18" hidden="false" customHeight="true" outlineLevel="0" collapsed="false"/>
    <row r="2" customFormat="false" ht="18" hidden="false" customHeight="true" outlineLevel="0" collapsed="false">
      <c r="B2" s="2" t="s">
        <v>0</v>
      </c>
      <c r="C2" s="2"/>
      <c r="D2" s="2"/>
    </row>
    <row r="3" customFormat="false" ht="18" hidden="false" customHeight="true" outlineLevel="0" collapsed="false">
      <c r="B3" s="2"/>
      <c r="C3" s="2"/>
      <c r="D3" s="2"/>
    </row>
    <row r="4" customFormat="false" ht="18" hidden="false" customHeight="true" outlineLevel="0" collapsed="false">
      <c r="B4" s="3" t="s">
        <v>1</v>
      </c>
      <c r="C4" s="3"/>
      <c r="D4" s="3"/>
    </row>
    <row r="5" customFormat="false" ht="18" hidden="false" customHeight="true" outlineLevel="0" collapsed="false"/>
    <row r="6" customFormat="false" ht="18" hidden="false" customHeight="true" outlineLevel="0" collapsed="false">
      <c r="B6" s="4" t="s">
        <v>2</v>
      </c>
      <c r="C6" s="5" t="s">
        <v>3</v>
      </c>
      <c r="D6" s="5"/>
    </row>
    <row r="7" customFormat="false" ht="18" hidden="false" customHeight="true" outlineLevel="0" collapsed="false">
      <c r="B7" s="4" t="s">
        <v>4</v>
      </c>
      <c r="C7" s="5" t="s">
        <v>5</v>
      </c>
      <c r="D7" s="5"/>
    </row>
    <row r="8" customFormat="false" ht="18" hidden="false" customHeight="true" outlineLevel="0" collapsed="false">
      <c r="B8" s="4" t="s">
        <v>6</v>
      </c>
      <c r="C8" s="5" t="s">
        <v>7</v>
      </c>
      <c r="D8" s="5"/>
    </row>
    <row r="9" customFormat="false" ht="18" hidden="false" customHeight="true" outlineLevel="0" collapsed="false">
      <c r="B9" s="4" t="s">
        <v>8</v>
      </c>
      <c r="C9" s="5" t="s">
        <v>9</v>
      </c>
      <c r="D9" s="5"/>
    </row>
    <row r="10" customFormat="false" ht="18" hidden="false" customHeight="true" outlineLevel="0" collapsed="false">
      <c r="B10" s="4" t="s">
        <v>10</v>
      </c>
      <c r="C10" s="5" t="s">
        <v>11</v>
      </c>
      <c r="D10" s="5"/>
    </row>
    <row r="11" customFormat="false" ht="18" hidden="false" customHeight="true" outlineLevel="0" collapsed="false">
      <c r="B11" s="4" t="s">
        <v>12</v>
      </c>
      <c r="C11" s="5" t="s">
        <v>13</v>
      </c>
      <c r="D11" s="5"/>
    </row>
    <row r="12" customFormat="false" ht="18" hidden="false" customHeight="true" outlineLevel="0" collapsed="false">
      <c r="B12" s="4" t="s">
        <v>14</v>
      </c>
      <c r="C12" s="5" t="s">
        <v>15</v>
      </c>
      <c r="D12" s="5"/>
    </row>
    <row r="13" customFormat="false" ht="18" hidden="false" customHeight="true" outlineLevel="0" collapsed="false"/>
    <row r="14" customFormat="false" ht="18" hidden="false" customHeight="true" outlineLevel="0" collapsed="false">
      <c r="B14" s="6" t="s">
        <v>16</v>
      </c>
      <c r="C14" s="6"/>
      <c r="D14" s="6"/>
    </row>
    <row r="15" customFormat="false" ht="18" hidden="false" customHeight="true" outlineLevel="0" collapsed="false">
      <c r="B15" s="7" t="s">
        <v>17</v>
      </c>
      <c r="C15" s="5" t="s">
        <v>18</v>
      </c>
      <c r="D15" s="5"/>
    </row>
    <row r="16" customFormat="false" ht="18" hidden="false" customHeight="true" outlineLevel="0" collapsed="false">
      <c r="B16" s="7" t="s">
        <v>19</v>
      </c>
      <c r="C16" s="5" t="s">
        <v>20</v>
      </c>
      <c r="D16" s="5"/>
    </row>
    <row r="17" customFormat="false" ht="18" hidden="false" customHeight="true" outlineLevel="0" collapsed="false">
      <c r="B17" s="7" t="s">
        <v>21</v>
      </c>
      <c r="C17" s="5" t="s">
        <v>22</v>
      </c>
      <c r="D17" s="5"/>
    </row>
    <row r="18" customFormat="false" ht="18" hidden="false" customHeight="true" outlineLevel="0" collapsed="false">
      <c r="B18" s="7" t="s">
        <v>23</v>
      </c>
      <c r="C18" s="5" t="s">
        <v>24</v>
      </c>
      <c r="D18" s="5"/>
    </row>
    <row r="19" customFormat="false" ht="18" hidden="false" customHeight="true" outlineLevel="0" collapsed="false">
      <c r="B19" s="7" t="s">
        <v>25</v>
      </c>
      <c r="C19" s="5" t="s">
        <v>26</v>
      </c>
      <c r="D19" s="5"/>
    </row>
    <row r="20" customFormat="false" ht="18" hidden="false" customHeight="true" outlineLevel="0" collapsed="false"/>
    <row r="21" customFormat="false" ht="18" hidden="false" customHeight="true" outlineLevel="0" collapsed="false">
      <c r="B21" s="8" t="s">
        <v>27</v>
      </c>
      <c r="C21" s="8"/>
      <c r="D21" s="8"/>
    </row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</sheetData>
  <mergeCells count="16">
    <mergeCell ref="B2:D3"/>
    <mergeCell ref="B4:D4"/>
    <mergeCell ref="C6:D6"/>
    <mergeCell ref="C7:D7"/>
    <mergeCell ref="C8:D8"/>
    <mergeCell ref="C9:D9"/>
    <mergeCell ref="C10:D10"/>
    <mergeCell ref="C11:D11"/>
    <mergeCell ref="C12:D12"/>
    <mergeCell ref="B14:D14"/>
    <mergeCell ref="C15:D15"/>
    <mergeCell ref="C16:D16"/>
    <mergeCell ref="C17:D17"/>
    <mergeCell ref="C18:D18"/>
    <mergeCell ref="C19:D19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4"/>
    <col collapsed="false" customWidth="true" hidden="false" outlineLevel="0" max="10" min="10" style="1" width="4"/>
  </cols>
  <sheetData>
    <row r="1" customFormat="false" ht="15.75" hidden="false" customHeight="true" outlineLevel="0" collapsed="false">
      <c r="B1" s="9" t="s">
        <v>28</v>
      </c>
      <c r="C1" s="9"/>
      <c r="D1" s="9"/>
      <c r="E1" s="9"/>
      <c r="F1" s="9"/>
      <c r="G1" s="9"/>
      <c r="H1" s="9"/>
      <c r="I1" s="9"/>
    </row>
    <row r="2" customFormat="false" ht="34.5" hidden="false" customHeight="true" outlineLevel="0" collapsed="false"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</row>
    <row r="3" customFormat="false" ht="15" hidden="false" customHeight="true" outlineLevel="0" collapsed="false">
      <c r="B3" s="11" t="s">
        <v>37</v>
      </c>
      <c r="C3" s="12" t="s">
        <v>38</v>
      </c>
      <c r="D3" s="13" t="s">
        <v>39</v>
      </c>
      <c r="E3" s="14" t="n">
        <v>1200</v>
      </c>
      <c r="F3" s="14" t="n">
        <v>45</v>
      </c>
      <c r="G3" s="15" t="n">
        <v>120</v>
      </c>
      <c r="H3" s="11" t="n">
        <v>0.25</v>
      </c>
      <c r="I3" s="14" t="n">
        <f aca="false">E3*F3</f>
        <v>54000</v>
      </c>
    </row>
    <row r="4" customFormat="false" ht="23.25" hidden="false" customHeight="true" outlineLevel="0" collapsed="false">
      <c r="B4" s="16" t="s">
        <v>40</v>
      </c>
      <c r="C4" s="17" t="s">
        <v>41</v>
      </c>
      <c r="D4" s="18" t="s">
        <v>42</v>
      </c>
      <c r="E4" s="19" t="n">
        <v>2400</v>
      </c>
      <c r="F4" s="19" t="n">
        <v>38.5</v>
      </c>
      <c r="G4" s="20" t="n">
        <v>85</v>
      </c>
      <c r="H4" s="16" t="n">
        <v>0.22</v>
      </c>
      <c r="I4" s="19" t="n">
        <f aca="false">E4*F4</f>
        <v>92400</v>
      </c>
    </row>
    <row r="5" customFormat="false" ht="15" hidden="false" customHeight="true" outlineLevel="0" collapsed="false">
      <c r="B5" s="16" t="s">
        <v>43</v>
      </c>
      <c r="C5" s="17" t="s">
        <v>44</v>
      </c>
      <c r="D5" s="18" t="s">
        <v>42</v>
      </c>
      <c r="E5" s="19" t="n">
        <v>3600</v>
      </c>
      <c r="F5" s="19" t="n">
        <v>22</v>
      </c>
      <c r="G5" s="20" t="n">
        <v>75</v>
      </c>
      <c r="H5" s="16" t="n">
        <v>0.2</v>
      </c>
      <c r="I5" s="19" t="n">
        <f aca="false">E5*F5</f>
        <v>79200</v>
      </c>
    </row>
    <row r="6" customFormat="false" ht="15" hidden="false" customHeight="true" outlineLevel="0" collapsed="false">
      <c r="B6" s="21" t="s">
        <v>45</v>
      </c>
      <c r="C6" s="22" t="s">
        <v>46</v>
      </c>
      <c r="D6" s="23" t="s">
        <v>47</v>
      </c>
      <c r="E6" s="24" t="n">
        <v>960</v>
      </c>
      <c r="F6" s="24" t="n">
        <v>18</v>
      </c>
      <c r="G6" s="25" t="n">
        <v>60</v>
      </c>
      <c r="H6" s="21" t="n">
        <v>0.18</v>
      </c>
      <c r="I6" s="24" t="n">
        <f aca="false">E6*F6</f>
        <v>17280</v>
      </c>
    </row>
    <row r="7" customFormat="false" ht="15" hidden="false" customHeight="true" outlineLevel="0" collapsed="false">
      <c r="B7" s="21" t="s">
        <v>48</v>
      </c>
      <c r="C7" s="22" t="s">
        <v>49</v>
      </c>
      <c r="D7" s="23" t="s">
        <v>47</v>
      </c>
      <c r="E7" s="24" t="n">
        <v>240</v>
      </c>
      <c r="F7" s="24" t="n">
        <v>320</v>
      </c>
      <c r="G7" s="25" t="n">
        <v>95</v>
      </c>
      <c r="H7" s="21" t="n">
        <v>0.28</v>
      </c>
      <c r="I7" s="24" t="n">
        <f aca="false">E7*F7</f>
        <v>76800</v>
      </c>
    </row>
    <row r="8" customFormat="false" ht="15" hidden="false" customHeight="true" outlineLevel="0" collapsed="false">
      <c r="B8" s="21" t="s">
        <v>50</v>
      </c>
      <c r="C8" s="22" t="s">
        <v>51</v>
      </c>
      <c r="D8" s="23" t="s">
        <v>47</v>
      </c>
      <c r="E8" s="24" t="n">
        <v>480</v>
      </c>
      <c r="F8" s="24" t="n">
        <v>12.5</v>
      </c>
      <c r="G8" s="25" t="n">
        <v>45</v>
      </c>
      <c r="H8" s="21" t="n">
        <v>0.15</v>
      </c>
      <c r="I8" s="24" t="n">
        <f aca="false">E8*F8</f>
        <v>6000</v>
      </c>
    </row>
    <row r="9" customFormat="false" ht="15" hidden="false" customHeight="true" outlineLevel="0" collapsed="false">
      <c r="B9" s="26" t="s">
        <v>52</v>
      </c>
      <c r="C9" s="27" t="s">
        <v>53</v>
      </c>
      <c r="D9" s="28" t="s">
        <v>54</v>
      </c>
      <c r="E9" s="29" t="n">
        <v>600</v>
      </c>
      <c r="F9" s="29" t="n">
        <v>85</v>
      </c>
      <c r="G9" s="30" t="n">
        <v>110</v>
      </c>
      <c r="H9" s="26" t="n">
        <v>0.24</v>
      </c>
      <c r="I9" s="29" t="n">
        <f aca="false">E9*F9</f>
        <v>51000</v>
      </c>
    </row>
    <row r="10" customFormat="false" ht="23.25" hidden="false" customHeight="true" outlineLevel="0" collapsed="false">
      <c r="B10" s="26" t="s">
        <v>55</v>
      </c>
      <c r="C10" s="27" t="s">
        <v>56</v>
      </c>
      <c r="D10" s="28" t="s">
        <v>54</v>
      </c>
      <c r="E10" s="29" t="n">
        <v>720</v>
      </c>
      <c r="F10" s="29" t="n">
        <v>55</v>
      </c>
      <c r="G10" s="30" t="n">
        <v>90</v>
      </c>
      <c r="H10" s="26" t="n">
        <v>0.2</v>
      </c>
      <c r="I10" s="29" t="n">
        <f aca="false">E10*F10</f>
        <v>39600</v>
      </c>
    </row>
    <row r="11" customFormat="false" ht="15" hidden="false" customHeight="true" outlineLevel="0" collapsed="false">
      <c r="B11" s="26" t="s">
        <v>57</v>
      </c>
      <c r="C11" s="27" t="s">
        <v>58</v>
      </c>
      <c r="D11" s="28" t="s">
        <v>54</v>
      </c>
      <c r="E11" s="29" t="n">
        <v>180</v>
      </c>
      <c r="F11" s="29" t="n">
        <v>8500</v>
      </c>
      <c r="G11" s="30" t="n">
        <v>250</v>
      </c>
      <c r="H11" s="26" t="n">
        <v>0.1</v>
      </c>
      <c r="I11" s="29" t="n">
        <f aca="false">E11*F11</f>
        <v>1530000</v>
      </c>
    </row>
    <row r="12" customFormat="false" ht="15" hidden="false" customHeight="true" outlineLevel="0" collapsed="false">
      <c r="B12" s="31" t="s">
        <v>59</v>
      </c>
      <c r="C12" s="32" t="s">
        <v>60</v>
      </c>
      <c r="D12" s="33" t="s">
        <v>61</v>
      </c>
      <c r="E12" s="34" t="n">
        <v>60</v>
      </c>
      <c r="F12" s="34" t="n">
        <v>4200</v>
      </c>
      <c r="G12" s="35" t="n">
        <v>350</v>
      </c>
      <c r="H12" s="31" t="n">
        <v>0.2</v>
      </c>
      <c r="I12" s="34" t="n">
        <f aca="false">E12*F12</f>
        <v>252000</v>
      </c>
    </row>
    <row r="13" customFormat="false" ht="15" hidden="false" customHeight="true" outlineLevel="0" collapsed="false">
      <c r="B13" s="31" t="s">
        <v>62</v>
      </c>
      <c r="C13" s="32" t="s">
        <v>63</v>
      </c>
      <c r="D13" s="33" t="s">
        <v>61</v>
      </c>
      <c r="E13" s="34" t="n">
        <v>120</v>
      </c>
      <c r="F13" s="34" t="n">
        <v>280</v>
      </c>
      <c r="G13" s="35" t="n">
        <v>120</v>
      </c>
      <c r="H13" s="31" t="n">
        <v>0.22</v>
      </c>
      <c r="I13" s="34" t="n">
        <f aca="false">E13*F13</f>
        <v>33600</v>
      </c>
    </row>
    <row r="14" customFormat="false" ht="15" hidden="false" customHeight="true" outlineLevel="0" collapsed="false">
      <c r="B14" s="31" t="s">
        <v>64</v>
      </c>
      <c r="C14" s="32" t="s">
        <v>65</v>
      </c>
      <c r="D14" s="33" t="s">
        <v>61</v>
      </c>
      <c r="E14" s="34" t="n">
        <v>360</v>
      </c>
      <c r="F14" s="34" t="n">
        <v>95</v>
      </c>
      <c r="G14" s="35" t="n">
        <v>65</v>
      </c>
      <c r="H14" s="31" t="n">
        <v>0.18</v>
      </c>
      <c r="I14" s="34" t="n">
        <f aca="false">E14*F14</f>
        <v>34200</v>
      </c>
    </row>
    <row r="15" customFormat="false" ht="15" hidden="false" customHeight="true" outlineLevel="0" collapsed="false">
      <c r="B15" s="36" t="s">
        <v>66</v>
      </c>
      <c r="C15" s="37" t="s">
        <v>67</v>
      </c>
      <c r="D15" s="38" t="s">
        <v>68</v>
      </c>
      <c r="E15" s="39" t="n">
        <v>1800</v>
      </c>
      <c r="F15" s="39" t="n">
        <v>175</v>
      </c>
      <c r="G15" s="40" t="n">
        <v>130</v>
      </c>
      <c r="H15" s="36" t="n">
        <v>0.15</v>
      </c>
      <c r="I15" s="39" t="n">
        <f aca="false">E15*F15</f>
        <v>315000</v>
      </c>
    </row>
    <row r="16" customFormat="false" ht="15" hidden="false" customHeight="true" outlineLevel="0" collapsed="false">
      <c r="B16" s="36" t="s">
        <v>69</v>
      </c>
      <c r="C16" s="37" t="s">
        <v>70</v>
      </c>
      <c r="D16" s="38" t="s">
        <v>68</v>
      </c>
      <c r="E16" s="39" t="n">
        <v>2400</v>
      </c>
      <c r="F16" s="39" t="n">
        <v>28</v>
      </c>
      <c r="G16" s="40" t="n">
        <v>80</v>
      </c>
      <c r="H16" s="36" t="n">
        <v>0.12</v>
      </c>
      <c r="I16" s="39" t="n">
        <f aca="false">E16*F16</f>
        <v>67200</v>
      </c>
    </row>
    <row r="17" customFormat="false" ht="23.25" hidden="false" customHeight="true" outlineLevel="0" collapsed="false">
      <c r="B17" s="36" t="s">
        <v>71</v>
      </c>
      <c r="C17" s="37" t="s">
        <v>72</v>
      </c>
      <c r="D17" s="38" t="s">
        <v>68</v>
      </c>
      <c r="E17" s="39" t="n">
        <v>600</v>
      </c>
      <c r="F17" s="39" t="n">
        <v>72</v>
      </c>
      <c r="G17" s="40" t="n">
        <v>95</v>
      </c>
      <c r="H17" s="36" t="n">
        <v>0.14</v>
      </c>
      <c r="I17" s="39" t="n">
        <f aca="false">E17*F17</f>
        <v>43200</v>
      </c>
    </row>
    <row r="18" customFormat="false" ht="15" hidden="false" customHeight="true" outlineLevel="0" collapsed="false">
      <c r="B18" s="11" t="s">
        <v>73</v>
      </c>
      <c r="C18" s="12" t="s">
        <v>74</v>
      </c>
      <c r="D18" s="13" t="s">
        <v>39</v>
      </c>
      <c r="E18" s="14" t="n">
        <v>900</v>
      </c>
      <c r="F18" s="14" t="n">
        <v>32</v>
      </c>
      <c r="G18" s="15" t="n">
        <v>100</v>
      </c>
      <c r="H18" s="11" t="n">
        <v>0.22</v>
      </c>
      <c r="I18" s="14" t="n">
        <f aca="false">E18*F18</f>
        <v>28800</v>
      </c>
    </row>
    <row r="19" customFormat="false" ht="15" hidden="false" customHeight="true" outlineLevel="0" collapsed="false">
      <c r="B19" s="21" t="s">
        <v>75</v>
      </c>
      <c r="C19" s="22" t="s">
        <v>76</v>
      </c>
      <c r="D19" s="23" t="s">
        <v>47</v>
      </c>
      <c r="E19" s="24" t="n">
        <v>480</v>
      </c>
      <c r="F19" s="24" t="n">
        <v>22</v>
      </c>
      <c r="G19" s="25" t="n">
        <v>60</v>
      </c>
      <c r="H19" s="21" t="n">
        <v>0.18</v>
      </c>
      <c r="I19" s="24" t="n">
        <f aca="false">E19*F19</f>
        <v>10560</v>
      </c>
    </row>
    <row r="20" customFormat="false" ht="15" hidden="false" customHeight="true" outlineLevel="0" collapsed="false">
      <c r="B20" s="26" t="s">
        <v>77</v>
      </c>
      <c r="C20" s="27" t="s">
        <v>78</v>
      </c>
      <c r="D20" s="28" t="s">
        <v>54</v>
      </c>
      <c r="E20" s="29" t="n">
        <v>360</v>
      </c>
      <c r="F20" s="29" t="n">
        <v>48</v>
      </c>
      <c r="G20" s="30" t="n">
        <v>75</v>
      </c>
      <c r="H20" s="26" t="n">
        <v>0.2</v>
      </c>
      <c r="I20" s="29" t="n">
        <f aca="false">E20*F20</f>
        <v>17280</v>
      </c>
    </row>
    <row r="21" customFormat="false" ht="15" hidden="false" customHeight="true" outlineLevel="0" collapsed="false">
      <c r="B21" s="31" t="s">
        <v>79</v>
      </c>
      <c r="C21" s="32" t="s">
        <v>80</v>
      </c>
      <c r="D21" s="33" t="s">
        <v>61</v>
      </c>
      <c r="E21" s="34" t="n">
        <v>36</v>
      </c>
      <c r="F21" s="34" t="n">
        <v>1850</v>
      </c>
      <c r="G21" s="35" t="n">
        <v>280</v>
      </c>
      <c r="H21" s="31" t="n">
        <v>0.18</v>
      </c>
      <c r="I21" s="34" t="n">
        <f aca="false">E21*F21</f>
        <v>66600</v>
      </c>
    </row>
    <row r="22" customFormat="false" ht="15" hidden="false" customHeight="true" outlineLevel="0" collapsed="false">
      <c r="B22" s="36" t="s">
        <v>81</v>
      </c>
      <c r="C22" s="37" t="s">
        <v>82</v>
      </c>
      <c r="D22" s="38" t="s">
        <v>68</v>
      </c>
      <c r="E22" s="39" t="n">
        <v>1200</v>
      </c>
      <c r="F22" s="39" t="n">
        <v>160</v>
      </c>
      <c r="G22" s="40" t="n">
        <v>130</v>
      </c>
      <c r="H22" s="36" t="n">
        <v>0.15</v>
      </c>
      <c r="I22" s="39" t="n">
        <f aca="false">E22*F22</f>
        <v>192000</v>
      </c>
    </row>
    <row r="23" customFormat="false" ht="15" hidden="false" customHeight="true" outlineLevel="0" collapsed="false">
      <c r="B23" s="10" t="s">
        <v>83</v>
      </c>
      <c r="C23" s="41"/>
      <c r="D23" s="41"/>
      <c r="E23" s="41"/>
      <c r="F23" s="41"/>
      <c r="G23" s="41"/>
      <c r="H23" s="41"/>
      <c r="I23" s="42" t="n">
        <f aca="false">SUM(I3:I22)</f>
        <v>3006720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7" min="4" style="1" width="16"/>
    <col collapsed="false" customWidth="true" hidden="false" outlineLevel="0" max="11" min="8" style="1" width="18"/>
    <col collapsed="false" customWidth="true" hidden="false" outlineLevel="0" max="12" min="12" style="1" width="3"/>
  </cols>
  <sheetData>
    <row r="1" customFormat="false" ht="15.75" hidden="false" customHeight="true" outlineLevel="0" collapsed="false">
      <c r="B1" s="9" t="s">
        <v>84</v>
      </c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true" outlineLevel="0" collapsed="false">
      <c r="B2" s="43" t="s">
        <v>85</v>
      </c>
      <c r="C2" s="43"/>
      <c r="D2" s="43"/>
      <c r="E2" s="43"/>
      <c r="F2" s="44" t="s">
        <v>86</v>
      </c>
      <c r="G2" s="44"/>
      <c r="H2" s="44"/>
      <c r="I2" s="44"/>
      <c r="J2" s="44"/>
      <c r="K2" s="44"/>
    </row>
    <row r="3" customFormat="false" ht="15" hidden="false" customHeight="true" outlineLevel="0" collapsed="false">
      <c r="B3" s="45" t="s">
        <v>87</v>
      </c>
      <c r="C3" s="45"/>
      <c r="D3" s="45"/>
      <c r="E3" s="45"/>
      <c r="F3" s="45" t="s">
        <v>88</v>
      </c>
      <c r="G3" s="45"/>
      <c r="H3" s="45"/>
      <c r="I3" s="45"/>
      <c r="J3" s="45"/>
      <c r="K3" s="45"/>
    </row>
    <row r="4" customFormat="false" ht="39.75" hidden="false" customHeight="true" outlineLevel="0" collapsed="false">
      <c r="B4" s="46" t="s">
        <v>29</v>
      </c>
      <c r="C4" s="46" t="s">
        <v>30</v>
      </c>
      <c r="D4" s="46" t="s">
        <v>89</v>
      </c>
      <c r="E4" s="46" t="s">
        <v>90</v>
      </c>
      <c r="F4" s="46" t="s">
        <v>91</v>
      </c>
      <c r="G4" s="46" t="s">
        <v>92</v>
      </c>
      <c r="H4" s="46" t="s">
        <v>93</v>
      </c>
      <c r="I4" s="46" t="s">
        <v>94</v>
      </c>
      <c r="J4" s="46" t="s">
        <v>95</v>
      </c>
      <c r="K4" s="46" t="s">
        <v>96</v>
      </c>
      <c r="L4" s="46" t="s">
        <v>97</v>
      </c>
      <c r="M4" s="46" t="s">
        <v>98</v>
      </c>
    </row>
    <row r="5" customFormat="false" ht="15" hidden="false" customHeight="true" outlineLevel="0" collapsed="false">
      <c r="B5" s="11" t="s">
        <v>37</v>
      </c>
      <c r="C5" s="12" t="s">
        <v>38</v>
      </c>
      <c r="D5" s="13" t="n">
        <v>1200</v>
      </c>
      <c r="E5" s="14" t="n">
        <v>120</v>
      </c>
      <c r="F5" s="14" t="n">
        <v>45</v>
      </c>
      <c r="G5" s="15" t="n">
        <v>0.25</v>
      </c>
      <c r="H5" s="14" t="n">
        <f aca="false">F5*G5</f>
        <v>11.25</v>
      </c>
      <c r="I5" s="13" t="n">
        <f aca="false">ROUND(SQRT((2*D5*E5)/H5),0)</f>
        <v>160</v>
      </c>
      <c r="J5" s="13" t="n">
        <f aca="false">IFERROR(ROUND(D5/I5,1),0)</f>
        <v>7.5</v>
      </c>
      <c r="K5" s="14" t="n">
        <f aca="false">IFERROR(J5*E5,0)</f>
        <v>900</v>
      </c>
      <c r="L5" s="14" t="n">
        <f aca="false">IFERROR((I5/2)*H5,0)</f>
        <v>900</v>
      </c>
      <c r="M5" s="14" t="n">
        <f aca="false">K5+L5</f>
        <v>1800</v>
      </c>
    </row>
    <row r="6" customFormat="false" ht="15" hidden="false" customHeight="true" outlineLevel="0" collapsed="false">
      <c r="B6" s="16" t="s">
        <v>40</v>
      </c>
      <c r="C6" s="17" t="s">
        <v>41</v>
      </c>
      <c r="D6" s="18" t="n">
        <v>2400</v>
      </c>
      <c r="E6" s="19" t="n">
        <v>85</v>
      </c>
      <c r="F6" s="19" t="n">
        <v>38.5</v>
      </c>
      <c r="G6" s="20" t="n">
        <v>0.22</v>
      </c>
      <c r="H6" s="19" t="n">
        <f aca="false">F6*G6</f>
        <v>8.47</v>
      </c>
      <c r="I6" s="18" t="n">
        <f aca="false">ROUND(SQRT((2*D6*E6)/H6),0)</f>
        <v>219</v>
      </c>
      <c r="J6" s="18" t="n">
        <f aca="false">IFERROR(ROUND(D6/I6,1),0)</f>
        <v>11</v>
      </c>
      <c r="K6" s="19" t="n">
        <f aca="false">IFERROR(J6*E6,0)</f>
        <v>935</v>
      </c>
      <c r="L6" s="19" t="n">
        <f aca="false">IFERROR((I6/2)*H6,0)</f>
        <v>927.465</v>
      </c>
      <c r="M6" s="19" t="n">
        <f aca="false">K6+L6</f>
        <v>1862.465</v>
      </c>
    </row>
    <row r="7" customFormat="false" ht="15" hidden="false" customHeight="true" outlineLevel="0" collapsed="false">
      <c r="B7" s="16" t="s">
        <v>43</v>
      </c>
      <c r="C7" s="17" t="s">
        <v>44</v>
      </c>
      <c r="D7" s="18" t="n">
        <v>3600</v>
      </c>
      <c r="E7" s="19" t="n">
        <v>75</v>
      </c>
      <c r="F7" s="19" t="n">
        <v>22</v>
      </c>
      <c r="G7" s="20" t="n">
        <v>0.2</v>
      </c>
      <c r="H7" s="19" t="n">
        <f aca="false">F7*G7</f>
        <v>4.4</v>
      </c>
      <c r="I7" s="18" t="n">
        <f aca="false">ROUND(SQRT((2*D7*E7)/H7),0)</f>
        <v>350</v>
      </c>
      <c r="J7" s="18" t="n">
        <f aca="false">IFERROR(ROUND(D7/I7,1),0)</f>
        <v>10.3</v>
      </c>
      <c r="K7" s="19" t="n">
        <f aca="false">IFERROR(J7*E7,0)</f>
        <v>772.5</v>
      </c>
      <c r="L7" s="19" t="n">
        <f aca="false">IFERROR((I7/2)*H7,0)</f>
        <v>770</v>
      </c>
      <c r="M7" s="19" t="n">
        <f aca="false">K7+L7</f>
        <v>1542.5</v>
      </c>
    </row>
    <row r="8" customFormat="false" ht="15" hidden="false" customHeight="true" outlineLevel="0" collapsed="false">
      <c r="B8" s="21" t="s">
        <v>45</v>
      </c>
      <c r="C8" s="22" t="s">
        <v>46</v>
      </c>
      <c r="D8" s="23" t="n">
        <v>960</v>
      </c>
      <c r="E8" s="24" t="n">
        <v>60</v>
      </c>
      <c r="F8" s="24" t="n">
        <v>18</v>
      </c>
      <c r="G8" s="25" t="n">
        <v>0.18</v>
      </c>
      <c r="H8" s="24" t="n">
        <f aca="false">F8*G8</f>
        <v>3.24</v>
      </c>
      <c r="I8" s="23" t="n">
        <f aca="false">ROUND(SQRT((2*D8*E8)/H8),0)</f>
        <v>189</v>
      </c>
      <c r="J8" s="23" t="n">
        <f aca="false">IFERROR(ROUND(D8/I8,1),0)</f>
        <v>5.1</v>
      </c>
      <c r="K8" s="24" t="n">
        <f aca="false">IFERROR(J8*E8,0)</f>
        <v>306</v>
      </c>
      <c r="L8" s="24" t="n">
        <f aca="false">IFERROR((I8/2)*H8,0)</f>
        <v>306.18</v>
      </c>
      <c r="M8" s="24" t="n">
        <f aca="false">K8+L8</f>
        <v>612.18</v>
      </c>
    </row>
    <row r="9" customFormat="false" ht="15" hidden="false" customHeight="true" outlineLevel="0" collapsed="false">
      <c r="B9" s="21" t="s">
        <v>48</v>
      </c>
      <c r="C9" s="22" t="s">
        <v>49</v>
      </c>
      <c r="D9" s="23" t="n">
        <v>240</v>
      </c>
      <c r="E9" s="24" t="n">
        <v>95</v>
      </c>
      <c r="F9" s="24" t="n">
        <v>320</v>
      </c>
      <c r="G9" s="25" t="n">
        <v>0.28</v>
      </c>
      <c r="H9" s="24" t="n">
        <f aca="false">F9*G9</f>
        <v>89.6</v>
      </c>
      <c r="I9" s="23" t="n">
        <f aca="false">ROUND(SQRT((2*D9*E9)/H9),0)</f>
        <v>23</v>
      </c>
      <c r="J9" s="23" t="n">
        <f aca="false">IFERROR(ROUND(D9/I9,1),0)</f>
        <v>10.4</v>
      </c>
      <c r="K9" s="24" t="n">
        <f aca="false">IFERROR(J9*E9,0)</f>
        <v>988</v>
      </c>
      <c r="L9" s="24" t="n">
        <f aca="false">IFERROR((I9/2)*H9,0)</f>
        <v>1030.4</v>
      </c>
      <c r="M9" s="24" t="n">
        <f aca="false">K9+L9</f>
        <v>2018.4</v>
      </c>
    </row>
    <row r="10" customFormat="false" ht="15" hidden="false" customHeight="true" outlineLevel="0" collapsed="false">
      <c r="B10" s="21" t="s">
        <v>50</v>
      </c>
      <c r="C10" s="22" t="s">
        <v>51</v>
      </c>
      <c r="D10" s="23" t="n">
        <v>480</v>
      </c>
      <c r="E10" s="24" t="n">
        <v>45</v>
      </c>
      <c r="F10" s="24" t="n">
        <v>12.5</v>
      </c>
      <c r="G10" s="25" t="n">
        <v>0.15</v>
      </c>
      <c r="H10" s="24" t="n">
        <f aca="false">F10*G10</f>
        <v>1.875</v>
      </c>
      <c r="I10" s="23" t="n">
        <f aca="false">ROUND(SQRT((2*D10*E10)/H10),0)</f>
        <v>152</v>
      </c>
      <c r="J10" s="23" t="n">
        <f aca="false">IFERROR(ROUND(D10/I10,1),0)</f>
        <v>3.2</v>
      </c>
      <c r="K10" s="24" t="n">
        <f aca="false">IFERROR(J10*E10,0)</f>
        <v>144</v>
      </c>
      <c r="L10" s="24" t="n">
        <f aca="false">IFERROR((I10/2)*H10,0)</f>
        <v>142.5</v>
      </c>
      <c r="M10" s="24" t="n">
        <f aca="false">K10+L10</f>
        <v>286.5</v>
      </c>
    </row>
    <row r="11" customFormat="false" ht="15" hidden="false" customHeight="true" outlineLevel="0" collapsed="false">
      <c r="B11" s="26" t="s">
        <v>52</v>
      </c>
      <c r="C11" s="27" t="s">
        <v>53</v>
      </c>
      <c r="D11" s="28" t="n">
        <v>600</v>
      </c>
      <c r="E11" s="29" t="n">
        <v>110</v>
      </c>
      <c r="F11" s="29" t="n">
        <v>85</v>
      </c>
      <c r="G11" s="30" t="n">
        <v>0.24</v>
      </c>
      <c r="H11" s="29" t="n">
        <f aca="false">F11*G11</f>
        <v>20.4</v>
      </c>
      <c r="I11" s="28" t="n">
        <f aca="false">ROUND(SQRT((2*D11*E11)/H11),0)</f>
        <v>80</v>
      </c>
      <c r="J11" s="28" t="n">
        <f aca="false">IFERROR(ROUND(D11/I11,1),0)</f>
        <v>7.5</v>
      </c>
      <c r="K11" s="29" t="n">
        <f aca="false">IFERROR(J11*E11,0)</f>
        <v>825</v>
      </c>
      <c r="L11" s="29" t="n">
        <f aca="false">IFERROR((I11/2)*H11,0)</f>
        <v>816</v>
      </c>
      <c r="M11" s="29" t="n">
        <f aca="false">K11+L11</f>
        <v>1641</v>
      </c>
    </row>
    <row r="12" customFormat="false" ht="15" hidden="false" customHeight="true" outlineLevel="0" collapsed="false">
      <c r="B12" s="26" t="s">
        <v>55</v>
      </c>
      <c r="C12" s="27" t="s">
        <v>56</v>
      </c>
      <c r="D12" s="28" t="n">
        <v>720</v>
      </c>
      <c r="E12" s="29" t="n">
        <v>90</v>
      </c>
      <c r="F12" s="29" t="n">
        <v>55</v>
      </c>
      <c r="G12" s="30" t="n">
        <v>0.2</v>
      </c>
      <c r="H12" s="29" t="n">
        <f aca="false">F12*G12</f>
        <v>11</v>
      </c>
      <c r="I12" s="28" t="n">
        <f aca="false">ROUND(SQRT((2*D12*E12)/H12),0)</f>
        <v>109</v>
      </c>
      <c r="J12" s="28" t="n">
        <f aca="false">IFERROR(ROUND(D12/I12,1),0)</f>
        <v>6.6</v>
      </c>
      <c r="K12" s="29" t="n">
        <f aca="false">IFERROR(J12*E12,0)</f>
        <v>594</v>
      </c>
      <c r="L12" s="29" t="n">
        <f aca="false">IFERROR((I12/2)*H12,0)</f>
        <v>599.5</v>
      </c>
      <c r="M12" s="29" t="n">
        <f aca="false">K12+L12</f>
        <v>1193.5</v>
      </c>
    </row>
    <row r="13" customFormat="false" ht="15" hidden="false" customHeight="true" outlineLevel="0" collapsed="false">
      <c r="B13" s="26" t="s">
        <v>57</v>
      </c>
      <c r="C13" s="27" t="s">
        <v>58</v>
      </c>
      <c r="D13" s="28" t="n">
        <v>180</v>
      </c>
      <c r="E13" s="29" t="n">
        <v>250</v>
      </c>
      <c r="F13" s="29" t="n">
        <v>8500</v>
      </c>
      <c r="G13" s="30" t="n">
        <v>0.1</v>
      </c>
      <c r="H13" s="29" t="n">
        <f aca="false">F13*G13</f>
        <v>850</v>
      </c>
      <c r="I13" s="28" t="n">
        <f aca="false">ROUND(SQRT((2*D13*E13)/H13),0)</f>
        <v>10</v>
      </c>
      <c r="J13" s="28" t="n">
        <f aca="false">IFERROR(ROUND(D13/I13,1),0)</f>
        <v>18</v>
      </c>
      <c r="K13" s="29" t="n">
        <f aca="false">IFERROR(J13*E13,0)</f>
        <v>4500</v>
      </c>
      <c r="L13" s="29" t="n">
        <f aca="false">IFERROR((I13/2)*H13,0)</f>
        <v>4250</v>
      </c>
      <c r="M13" s="29" t="n">
        <f aca="false">K13+L13</f>
        <v>8750</v>
      </c>
    </row>
    <row r="14" customFormat="false" ht="15" hidden="false" customHeight="true" outlineLevel="0" collapsed="false">
      <c r="B14" s="31" t="s">
        <v>59</v>
      </c>
      <c r="C14" s="32" t="s">
        <v>60</v>
      </c>
      <c r="D14" s="33" t="n">
        <v>60</v>
      </c>
      <c r="E14" s="34" t="n">
        <v>350</v>
      </c>
      <c r="F14" s="34" t="n">
        <v>4200</v>
      </c>
      <c r="G14" s="35" t="n">
        <v>0.2</v>
      </c>
      <c r="H14" s="34" t="n">
        <f aca="false">F14*G14</f>
        <v>840</v>
      </c>
      <c r="I14" s="33" t="n">
        <f aca="false">ROUND(SQRT((2*D14*E14)/H14),0)</f>
        <v>7</v>
      </c>
      <c r="J14" s="33" t="n">
        <f aca="false">IFERROR(ROUND(D14/I14,1),0)</f>
        <v>8.6</v>
      </c>
      <c r="K14" s="34" t="n">
        <f aca="false">IFERROR(J14*E14,0)</f>
        <v>3010</v>
      </c>
      <c r="L14" s="34" t="n">
        <f aca="false">IFERROR((I14/2)*H14,0)</f>
        <v>2940</v>
      </c>
      <c r="M14" s="34" t="n">
        <f aca="false">K14+L14</f>
        <v>5950</v>
      </c>
    </row>
    <row r="15" customFormat="false" ht="15" hidden="false" customHeight="true" outlineLevel="0" collapsed="false">
      <c r="B15" s="31" t="s">
        <v>62</v>
      </c>
      <c r="C15" s="32" t="s">
        <v>63</v>
      </c>
      <c r="D15" s="33" t="n">
        <v>120</v>
      </c>
      <c r="E15" s="34" t="n">
        <v>120</v>
      </c>
      <c r="F15" s="34" t="n">
        <v>280</v>
      </c>
      <c r="G15" s="35" t="n">
        <v>0.22</v>
      </c>
      <c r="H15" s="34" t="n">
        <f aca="false">F15*G15</f>
        <v>61.6</v>
      </c>
      <c r="I15" s="33" t="n">
        <f aca="false">ROUND(SQRT((2*D15*E15)/H15),0)</f>
        <v>22</v>
      </c>
      <c r="J15" s="33" t="n">
        <f aca="false">IFERROR(ROUND(D15/I15,1),0)</f>
        <v>5.5</v>
      </c>
      <c r="K15" s="34" t="n">
        <f aca="false">IFERROR(J15*E15,0)</f>
        <v>660</v>
      </c>
      <c r="L15" s="34" t="n">
        <f aca="false">IFERROR((I15/2)*H15,0)</f>
        <v>677.6</v>
      </c>
      <c r="M15" s="34" t="n">
        <f aca="false">K15+L15</f>
        <v>1337.6</v>
      </c>
    </row>
    <row r="16" customFormat="false" ht="15" hidden="false" customHeight="true" outlineLevel="0" collapsed="false">
      <c r="B16" s="31" t="s">
        <v>64</v>
      </c>
      <c r="C16" s="32" t="s">
        <v>65</v>
      </c>
      <c r="D16" s="33" t="n">
        <v>360</v>
      </c>
      <c r="E16" s="34" t="n">
        <v>65</v>
      </c>
      <c r="F16" s="34" t="n">
        <v>95</v>
      </c>
      <c r="G16" s="35" t="n">
        <v>0.18</v>
      </c>
      <c r="H16" s="34" t="n">
        <f aca="false">F16*G16</f>
        <v>17.1</v>
      </c>
      <c r="I16" s="33" t="n">
        <f aca="false">ROUND(SQRT((2*D16*E16)/H16),0)</f>
        <v>52</v>
      </c>
      <c r="J16" s="33" t="n">
        <f aca="false">IFERROR(ROUND(D16/I16,1),0)</f>
        <v>6.9</v>
      </c>
      <c r="K16" s="34" t="n">
        <f aca="false">IFERROR(J16*E16,0)</f>
        <v>448.5</v>
      </c>
      <c r="L16" s="34" t="n">
        <f aca="false">IFERROR((I16/2)*H16,0)</f>
        <v>444.6</v>
      </c>
      <c r="M16" s="34" t="n">
        <f aca="false">K16+L16</f>
        <v>893.1</v>
      </c>
    </row>
    <row r="17" customFormat="false" ht="15" hidden="false" customHeight="true" outlineLevel="0" collapsed="false">
      <c r="B17" s="36" t="s">
        <v>66</v>
      </c>
      <c r="C17" s="37" t="s">
        <v>67</v>
      </c>
      <c r="D17" s="38" t="n">
        <v>1800</v>
      </c>
      <c r="E17" s="39" t="n">
        <v>130</v>
      </c>
      <c r="F17" s="39" t="n">
        <v>175</v>
      </c>
      <c r="G17" s="40" t="n">
        <v>0.15</v>
      </c>
      <c r="H17" s="39" t="n">
        <f aca="false">F17*G17</f>
        <v>26.25</v>
      </c>
      <c r="I17" s="38" t="n">
        <f aca="false">ROUND(SQRT((2*D17*E17)/H17),0)</f>
        <v>134</v>
      </c>
      <c r="J17" s="38" t="n">
        <f aca="false">IFERROR(ROUND(D17/I17,1),0)</f>
        <v>13.4</v>
      </c>
      <c r="K17" s="39" t="n">
        <f aca="false">IFERROR(J17*E17,0)</f>
        <v>1742</v>
      </c>
      <c r="L17" s="39" t="n">
        <f aca="false">IFERROR((I17/2)*H17,0)</f>
        <v>1758.75</v>
      </c>
      <c r="M17" s="39" t="n">
        <f aca="false">K17+L17</f>
        <v>3500.75</v>
      </c>
    </row>
    <row r="18" customFormat="false" ht="15" hidden="false" customHeight="true" outlineLevel="0" collapsed="false">
      <c r="B18" s="36" t="s">
        <v>69</v>
      </c>
      <c r="C18" s="37" t="s">
        <v>70</v>
      </c>
      <c r="D18" s="38" t="n">
        <v>2400</v>
      </c>
      <c r="E18" s="39" t="n">
        <v>80</v>
      </c>
      <c r="F18" s="39" t="n">
        <v>28</v>
      </c>
      <c r="G18" s="40" t="n">
        <v>0.12</v>
      </c>
      <c r="H18" s="39" t="n">
        <f aca="false">F18*G18</f>
        <v>3.36</v>
      </c>
      <c r="I18" s="38" t="n">
        <f aca="false">ROUND(SQRT((2*D18*E18)/H18),0)</f>
        <v>338</v>
      </c>
      <c r="J18" s="38" t="n">
        <f aca="false">IFERROR(ROUND(D18/I18,1),0)</f>
        <v>7.1</v>
      </c>
      <c r="K18" s="39" t="n">
        <f aca="false">IFERROR(J18*E18,0)</f>
        <v>568</v>
      </c>
      <c r="L18" s="39" t="n">
        <f aca="false">IFERROR((I18/2)*H18,0)</f>
        <v>567.84</v>
      </c>
      <c r="M18" s="39" t="n">
        <f aca="false">K18+L18</f>
        <v>1135.84</v>
      </c>
    </row>
    <row r="19" customFormat="false" ht="15" hidden="false" customHeight="true" outlineLevel="0" collapsed="false">
      <c r="B19" s="36" t="s">
        <v>71</v>
      </c>
      <c r="C19" s="37" t="s">
        <v>72</v>
      </c>
      <c r="D19" s="38" t="n">
        <v>600</v>
      </c>
      <c r="E19" s="39" t="n">
        <v>95</v>
      </c>
      <c r="F19" s="39" t="n">
        <v>72</v>
      </c>
      <c r="G19" s="40" t="n">
        <v>0.14</v>
      </c>
      <c r="H19" s="39" t="n">
        <f aca="false">F19*G19</f>
        <v>10.08</v>
      </c>
      <c r="I19" s="38" t="n">
        <f aca="false">ROUND(SQRT((2*D19*E19)/H19),0)</f>
        <v>106</v>
      </c>
      <c r="J19" s="38" t="n">
        <f aca="false">IFERROR(ROUND(D19/I19,1),0)</f>
        <v>5.7</v>
      </c>
      <c r="K19" s="39" t="n">
        <f aca="false">IFERROR(J19*E19,0)</f>
        <v>541.5</v>
      </c>
      <c r="L19" s="39" t="n">
        <f aca="false">IFERROR((I19/2)*H19,0)</f>
        <v>534.24</v>
      </c>
      <c r="M19" s="39" t="n">
        <f aca="false">K19+L19</f>
        <v>1075.74</v>
      </c>
    </row>
    <row r="20" customFormat="false" ht="15" hidden="false" customHeight="true" outlineLevel="0" collapsed="false">
      <c r="B20" s="11" t="s">
        <v>73</v>
      </c>
      <c r="C20" s="12" t="s">
        <v>74</v>
      </c>
      <c r="D20" s="13" t="n">
        <v>900</v>
      </c>
      <c r="E20" s="14" t="n">
        <v>100</v>
      </c>
      <c r="F20" s="14" t="n">
        <v>32</v>
      </c>
      <c r="G20" s="15" t="n">
        <v>0.22</v>
      </c>
      <c r="H20" s="14" t="n">
        <f aca="false">F20*G20</f>
        <v>7.04</v>
      </c>
      <c r="I20" s="13" t="n">
        <f aca="false">ROUND(SQRT((2*D20*E20)/H20),0)</f>
        <v>160</v>
      </c>
      <c r="J20" s="13" t="n">
        <f aca="false">IFERROR(ROUND(D20/I20,1),0)</f>
        <v>5.6</v>
      </c>
      <c r="K20" s="14" t="n">
        <f aca="false">IFERROR(J20*E20,0)</f>
        <v>560</v>
      </c>
      <c r="L20" s="14" t="n">
        <f aca="false">IFERROR((I20/2)*H20,0)</f>
        <v>563.2</v>
      </c>
      <c r="M20" s="14" t="n">
        <f aca="false">K20+L20</f>
        <v>1123.2</v>
      </c>
    </row>
    <row r="21" customFormat="false" ht="15" hidden="false" customHeight="true" outlineLevel="0" collapsed="false">
      <c r="B21" s="21" t="s">
        <v>75</v>
      </c>
      <c r="C21" s="22" t="s">
        <v>76</v>
      </c>
      <c r="D21" s="23" t="n">
        <v>480</v>
      </c>
      <c r="E21" s="24" t="n">
        <v>60</v>
      </c>
      <c r="F21" s="24" t="n">
        <v>22</v>
      </c>
      <c r="G21" s="25" t="n">
        <v>0.18</v>
      </c>
      <c r="H21" s="24" t="n">
        <f aca="false">F21*G21</f>
        <v>3.96</v>
      </c>
      <c r="I21" s="23" t="n">
        <f aca="false">ROUND(SQRT((2*D21*E21)/H21),0)</f>
        <v>121</v>
      </c>
      <c r="J21" s="23" t="n">
        <f aca="false">IFERROR(ROUND(D21/I21,1),0)</f>
        <v>4</v>
      </c>
      <c r="K21" s="24" t="n">
        <f aca="false">IFERROR(J21*E21,0)</f>
        <v>240</v>
      </c>
      <c r="L21" s="24" t="n">
        <f aca="false">IFERROR((I21/2)*H21,0)</f>
        <v>239.58</v>
      </c>
      <c r="M21" s="24" t="n">
        <f aca="false">K21+L21</f>
        <v>479.58</v>
      </c>
    </row>
    <row r="22" customFormat="false" ht="15" hidden="false" customHeight="true" outlineLevel="0" collapsed="false">
      <c r="B22" s="26" t="s">
        <v>77</v>
      </c>
      <c r="C22" s="27" t="s">
        <v>78</v>
      </c>
      <c r="D22" s="28" t="n">
        <v>360</v>
      </c>
      <c r="E22" s="29" t="n">
        <v>75</v>
      </c>
      <c r="F22" s="29" t="n">
        <v>48</v>
      </c>
      <c r="G22" s="30" t="n">
        <v>0.2</v>
      </c>
      <c r="H22" s="29" t="n">
        <f aca="false">F22*G22</f>
        <v>9.6</v>
      </c>
      <c r="I22" s="28" t="n">
        <f aca="false">ROUND(SQRT((2*D22*E22)/H22),0)</f>
        <v>75</v>
      </c>
      <c r="J22" s="28" t="n">
        <f aca="false">IFERROR(ROUND(D22/I22,1),0)</f>
        <v>4.8</v>
      </c>
      <c r="K22" s="29" t="n">
        <f aca="false">IFERROR(J22*E22,0)</f>
        <v>360</v>
      </c>
      <c r="L22" s="29" t="n">
        <f aca="false">IFERROR((I22/2)*H22,0)</f>
        <v>360</v>
      </c>
      <c r="M22" s="29" t="n">
        <f aca="false">K22+L22</f>
        <v>720</v>
      </c>
    </row>
    <row r="23" customFormat="false" ht="15" hidden="false" customHeight="true" outlineLevel="0" collapsed="false">
      <c r="B23" s="31" t="s">
        <v>79</v>
      </c>
      <c r="C23" s="32" t="s">
        <v>80</v>
      </c>
      <c r="D23" s="33" t="n">
        <v>36</v>
      </c>
      <c r="E23" s="34" t="n">
        <v>280</v>
      </c>
      <c r="F23" s="34" t="n">
        <v>1850</v>
      </c>
      <c r="G23" s="35" t="n">
        <v>0.18</v>
      </c>
      <c r="H23" s="34" t="n">
        <f aca="false">F23*G23</f>
        <v>333</v>
      </c>
      <c r="I23" s="33" t="n">
        <f aca="false">ROUND(SQRT((2*D23*E23)/H23),0)</f>
        <v>8</v>
      </c>
      <c r="J23" s="33" t="n">
        <f aca="false">IFERROR(ROUND(D23/I23,1),0)</f>
        <v>4.5</v>
      </c>
      <c r="K23" s="34" t="n">
        <f aca="false">IFERROR(J23*E23,0)</f>
        <v>1260</v>
      </c>
      <c r="L23" s="34" t="n">
        <f aca="false">IFERROR((I23/2)*H23,0)</f>
        <v>1332</v>
      </c>
      <c r="M23" s="34" t="n">
        <f aca="false">K23+L23</f>
        <v>2592</v>
      </c>
    </row>
    <row r="24" customFormat="false" ht="15" hidden="false" customHeight="true" outlineLevel="0" collapsed="false">
      <c r="B24" s="36" t="s">
        <v>81</v>
      </c>
      <c r="C24" s="37" t="s">
        <v>82</v>
      </c>
      <c r="D24" s="38" t="n">
        <v>1200</v>
      </c>
      <c r="E24" s="39" t="n">
        <v>130</v>
      </c>
      <c r="F24" s="39" t="n">
        <v>160</v>
      </c>
      <c r="G24" s="40" t="n">
        <v>0.15</v>
      </c>
      <c r="H24" s="39" t="n">
        <f aca="false">F24*G24</f>
        <v>24</v>
      </c>
      <c r="I24" s="38" t="n">
        <f aca="false">ROUND(SQRT((2*D24*E24)/H24),0)</f>
        <v>114</v>
      </c>
      <c r="J24" s="38" t="n">
        <f aca="false">IFERROR(ROUND(D24/I24,1),0)</f>
        <v>10.5</v>
      </c>
      <c r="K24" s="39" t="n">
        <f aca="false">IFERROR(J24*E24,0)</f>
        <v>1365</v>
      </c>
      <c r="L24" s="39" t="n">
        <f aca="false">IFERROR((I24/2)*H24,0)</f>
        <v>1368</v>
      </c>
      <c r="M24" s="39" t="n">
        <f aca="false">K24+L24</f>
        <v>2733</v>
      </c>
    </row>
    <row r="25" customFormat="false" ht="15" hidden="false" customHeight="true" outlineLevel="0" collapsed="false">
      <c r="B25" s="47" t="s">
        <v>99</v>
      </c>
      <c r="C25" s="47"/>
      <c r="D25" s="41"/>
      <c r="E25" s="41"/>
      <c r="F25" s="41"/>
      <c r="G25" s="41"/>
      <c r="H25" s="41"/>
      <c r="I25" s="41"/>
      <c r="J25" s="41"/>
      <c r="K25" s="42" t="n">
        <f aca="false">SUM(K5:K24)</f>
        <v>20719.5</v>
      </c>
      <c r="L25" s="42" t="n">
        <f aca="false">SUM(L5:L24)</f>
        <v>20527.855</v>
      </c>
      <c r="M25" s="42" t="n">
        <f aca="false">SUM(M5:M24)</f>
        <v>41247.355</v>
      </c>
    </row>
    <row r="27" customFormat="false" ht="15" hidden="false" customHeight="true" outlineLevel="0" collapsed="false">
      <c r="B27" s="48" t="s">
        <v>100</v>
      </c>
      <c r="C27" s="48"/>
      <c r="D27" s="48"/>
      <c r="E27" s="48"/>
    </row>
    <row r="28" customFormat="false" ht="15" hidden="false" customHeight="true" outlineLevel="0" collapsed="false">
      <c r="B28" s="49" t="s">
        <v>101</v>
      </c>
      <c r="C28" s="50" t="s">
        <v>102</v>
      </c>
      <c r="D28" s="50"/>
      <c r="E28" s="50"/>
    </row>
    <row r="29" customFormat="false" ht="15" hidden="false" customHeight="true" outlineLevel="0" collapsed="false">
      <c r="B29" s="51" t="s">
        <v>103</v>
      </c>
      <c r="C29" s="50" t="s">
        <v>104</v>
      </c>
      <c r="D29" s="50"/>
      <c r="E29" s="50"/>
    </row>
    <row r="30" customFormat="false" ht="21.75" hidden="false" customHeight="true" outlineLevel="0" collapsed="false">
      <c r="B30" s="52" t="s">
        <v>105</v>
      </c>
      <c r="C30" s="50" t="s">
        <v>106</v>
      </c>
      <c r="D30" s="50"/>
      <c r="E30" s="50"/>
    </row>
  </sheetData>
  <mergeCells count="10">
    <mergeCell ref="B1:K1"/>
    <mergeCell ref="B2:E2"/>
    <mergeCell ref="F2:K2"/>
    <mergeCell ref="B3:E3"/>
    <mergeCell ref="F3:K3"/>
    <mergeCell ref="B25:C25"/>
    <mergeCell ref="B27:E27"/>
    <mergeCell ref="C28:E28"/>
    <mergeCell ref="C29:E29"/>
    <mergeCell ref="C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8" min="5" style="1" width="16"/>
    <col collapsed="false" customWidth="true" hidden="false" outlineLevel="0" max="9" min="9" style="1" width="12"/>
    <col collapsed="false" customWidth="true" hidden="false" outlineLevel="0" max="10" min="10" style="1" width="3"/>
  </cols>
  <sheetData>
    <row r="1" customFormat="false" ht="15.75" hidden="false" customHeight="true" outlineLevel="0" collapsed="false">
      <c r="B1" s="9" t="s">
        <v>107</v>
      </c>
      <c r="C1" s="9"/>
      <c r="D1" s="9"/>
      <c r="E1" s="9"/>
      <c r="F1" s="9"/>
      <c r="G1" s="9"/>
      <c r="H1" s="9"/>
      <c r="I1" s="9"/>
    </row>
    <row r="2" customFormat="false" ht="15" hidden="false" customHeight="true" outlineLevel="0" collapsed="false">
      <c r="B2" s="43" t="s">
        <v>108</v>
      </c>
      <c r="C2" s="43"/>
      <c r="D2" s="43" t="s">
        <v>109</v>
      </c>
      <c r="E2" s="43"/>
      <c r="F2" s="43" t="s">
        <v>110</v>
      </c>
      <c r="G2" s="43"/>
      <c r="H2" s="43" t="s">
        <v>111</v>
      </c>
      <c r="I2" s="43"/>
    </row>
    <row r="3" customFormat="false" ht="23.25" hidden="false" customHeight="true" outlineLevel="0" collapsed="false">
      <c r="B3" s="53" t="s">
        <v>112</v>
      </c>
      <c r="C3" s="53"/>
      <c r="D3" s="54" t="s">
        <v>113</v>
      </c>
      <c r="E3" s="54"/>
      <c r="F3" s="54" t="s">
        <v>114</v>
      </c>
      <c r="G3" s="54"/>
      <c r="H3" s="54" t="s">
        <v>115</v>
      </c>
      <c r="I3" s="54"/>
    </row>
    <row r="4" customFormat="false" ht="23.25" hidden="false" customHeight="true" outlineLevel="0" collapsed="false">
      <c r="B4" s="55" t="s">
        <v>116</v>
      </c>
      <c r="C4" s="55"/>
      <c r="D4" s="56" t="s">
        <v>117</v>
      </c>
      <c r="E4" s="56"/>
      <c r="F4" s="56" t="s">
        <v>118</v>
      </c>
      <c r="G4" s="56"/>
      <c r="H4" s="56" t="s">
        <v>119</v>
      </c>
      <c r="I4" s="56"/>
    </row>
    <row r="5" customFormat="false" ht="23.25" hidden="false" customHeight="true" outlineLevel="0" collapsed="false">
      <c r="B5" s="57" t="s">
        <v>120</v>
      </c>
      <c r="C5" s="57"/>
      <c r="D5" s="58" t="s">
        <v>121</v>
      </c>
      <c r="E5" s="58"/>
      <c r="F5" s="58" t="s">
        <v>122</v>
      </c>
      <c r="G5" s="58"/>
      <c r="H5" s="58" t="s">
        <v>123</v>
      </c>
      <c r="I5" s="58"/>
    </row>
    <row r="7" customFormat="false" ht="34.5" hidden="false" customHeight="true" outlineLevel="0" collapsed="false">
      <c r="B7" s="46" t="s">
        <v>29</v>
      </c>
      <c r="C7" s="46" t="s">
        <v>30</v>
      </c>
      <c r="D7" s="46" t="s">
        <v>31</v>
      </c>
      <c r="E7" s="46" t="s">
        <v>36</v>
      </c>
      <c r="F7" s="46" t="s">
        <v>124</v>
      </c>
      <c r="G7" s="46" t="s">
        <v>125</v>
      </c>
      <c r="H7" s="46" t="s">
        <v>126</v>
      </c>
      <c r="I7" s="46" t="s">
        <v>127</v>
      </c>
    </row>
    <row r="8" customFormat="false" ht="57" hidden="false" customHeight="true" outlineLevel="0" collapsed="false">
      <c r="B8" s="11" t="s">
        <v>57</v>
      </c>
      <c r="C8" s="12" t="s">
        <v>58</v>
      </c>
      <c r="D8" s="11" t="s">
        <v>54</v>
      </c>
      <c r="E8" s="14" t="n">
        <v>1530000</v>
      </c>
      <c r="F8" s="14" t="n">
        <v>1530000</v>
      </c>
      <c r="G8" s="59" t="n">
        <v>0.508860153256705</v>
      </c>
      <c r="H8" s="60" t="s">
        <v>128</v>
      </c>
      <c r="I8" s="12" t="s">
        <v>129</v>
      </c>
    </row>
    <row r="9" customFormat="false" ht="57" hidden="false" customHeight="true" outlineLevel="0" collapsed="false">
      <c r="B9" s="11" t="s">
        <v>66</v>
      </c>
      <c r="C9" s="12" t="s">
        <v>67</v>
      </c>
      <c r="D9" s="11" t="s">
        <v>68</v>
      </c>
      <c r="E9" s="14" t="n">
        <v>315000</v>
      </c>
      <c r="F9" s="14" t="n">
        <v>1845000</v>
      </c>
      <c r="G9" s="59" t="n">
        <v>0.613625478927203</v>
      </c>
      <c r="H9" s="60" t="s">
        <v>128</v>
      </c>
      <c r="I9" s="12" t="s">
        <v>129</v>
      </c>
    </row>
    <row r="10" customFormat="false" ht="57" hidden="false" customHeight="true" outlineLevel="0" collapsed="false">
      <c r="B10" s="11" t="s">
        <v>59</v>
      </c>
      <c r="C10" s="12" t="s">
        <v>60</v>
      </c>
      <c r="D10" s="11" t="s">
        <v>61</v>
      </c>
      <c r="E10" s="14" t="n">
        <v>252000</v>
      </c>
      <c r="F10" s="14" t="n">
        <v>2097000</v>
      </c>
      <c r="G10" s="59" t="n">
        <v>0.697437739463602</v>
      </c>
      <c r="H10" s="60" t="s">
        <v>128</v>
      </c>
      <c r="I10" s="12" t="s">
        <v>129</v>
      </c>
    </row>
    <row r="11" customFormat="false" ht="57" hidden="false" customHeight="true" outlineLevel="0" collapsed="false">
      <c r="B11" s="11" t="s">
        <v>81</v>
      </c>
      <c r="C11" s="12" t="s">
        <v>82</v>
      </c>
      <c r="D11" s="11" t="s">
        <v>68</v>
      </c>
      <c r="E11" s="14" t="n">
        <v>192000</v>
      </c>
      <c r="F11" s="14" t="n">
        <v>2289000</v>
      </c>
      <c r="G11" s="59" t="n">
        <v>0.761294699872286</v>
      </c>
      <c r="H11" s="60" t="s">
        <v>128</v>
      </c>
      <c r="I11" s="12" t="s">
        <v>129</v>
      </c>
    </row>
    <row r="12" customFormat="false" ht="57" hidden="false" customHeight="true" outlineLevel="0" collapsed="false">
      <c r="B12" s="11" t="s">
        <v>40</v>
      </c>
      <c r="C12" s="12" t="s">
        <v>41</v>
      </c>
      <c r="D12" s="11" t="s">
        <v>42</v>
      </c>
      <c r="E12" s="14" t="n">
        <v>92400</v>
      </c>
      <c r="F12" s="14" t="n">
        <v>2381400</v>
      </c>
      <c r="G12" s="59" t="n">
        <v>0.792025862068966</v>
      </c>
      <c r="H12" s="60" t="s">
        <v>128</v>
      </c>
      <c r="I12" s="12" t="s">
        <v>129</v>
      </c>
    </row>
    <row r="13" customFormat="false" ht="57" hidden="false" customHeight="true" outlineLevel="0" collapsed="false">
      <c r="B13" s="21" t="s">
        <v>43</v>
      </c>
      <c r="C13" s="22" t="s">
        <v>44</v>
      </c>
      <c r="D13" s="21" t="s">
        <v>42</v>
      </c>
      <c r="E13" s="24" t="n">
        <v>79200</v>
      </c>
      <c r="F13" s="24" t="n">
        <v>2460600</v>
      </c>
      <c r="G13" s="61" t="n">
        <v>0.818366858237548</v>
      </c>
      <c r="H13" s="62" t="s">
        <v>130</v>
      </c>
      <c r="I13" s="22" t="s">
        <v>131</v>
      </c>
    </row>
    <row r="14" customFormat="false" ht="57" hidden="false" customHeight="true" outlineLevel="0" collapsed="false">
      <c r="B14" s="21" t="s">
        <v>48</v>
      </c>
      <c r="C14" s="22" t="s">
        <v>49</v>
      </c>
      <c r="D14" s="21" t="s">
        <v>47</v>
      </c>
      <c r="E14" s="24" t="n">
        <v>76800</v>
      </c>
      <c r="F14" s="24" t="n">
        <v>2537400</v>
      </c>
      <c r="G14" s="61" t="n">
        <v>0.843909642401022</v>
      </c>
      <c r="H14" s="62" t="s">
        <v>130</v>
      </c>
      <c r="I14" s="22" t="s">
        <v>131</v>
      </c>
    </row>
    <row r="15" customFormat="false" ht="57" hidden="false" customHeight="true" outlineLevel="0" collapsed="false">
      <c r="B15" s="21" t="s">
        <v>69</v>
      </c>
      <c r="C15" s="22" t="s">
        <v>70</v>
      </c>
      <c r="D15" s="21" t="s">
        <v>68</v>
      </c>
      <c r="E15" s="24" t="n">
        <v>67200</v>
      </c>
      <c r="F15" s="24" t="n">
        <v>2604600</v>
      </c>
      <c r="G15" s="61" t="n">
        <v>0.866259578544061</v>
      </c>
      <c r="H15" s="62" t="s">
        <v>130</v>
      </c>
      <c r="I15" s="22" t="s">
        <v>131</v>
      </c>
    </row>
    <row r="16" customFormat="false" ht="57" hidden="false" customHeight="true" outlineLevel="0" collapsed="false">
      <c r="B16" s="21" t="s">
        <v>79</v>
      </c>
      <c r="C16" s="22" t="s">
        <v>80</v>
      </c>
      <c r="D16" s="21" t="s">
        <v>61</v>
      </c>
      <c r="E16" s="24" t="n">
        <v>66600</v>
      </c>
      <c r="F16" s="24" t="n">
        <v>2671200</v>
      </c>
      <c r="G16" s="61" t="n">
        <v>0.888409961685824</v>
      </c>
      <c r="H16" s="62" t="s">
        <v>130</v>
      </c>
      <c r="I16" s="22" t="s">
        <v>131</v>
      </c>
    </row>
    <row r="17" customFormat="false" ht="57" hidden="false" customHeight="true" outlineLevel="0" collapsed="false">
      <c r="B17" s="21" t="s">
        <v>37</v>
      </c>
      <c r="C17" s="22" t="s">
        <v>38</v>
      </c>
      <c r="D17" s="21" t="s">
        <v>39</v>
      </c>
      <c r="E17" s="24" t="n">
        <v>54000</v>
      </c>
      <c r="F17" s="24" t="n">
        <v>2725200</v>
      </c>
      <c r="G17" s="61" t="n">
        <v>0.906369731800766</v>
      </c>
      <c r="H17" s="62" t="s">
        <v>130</v>
      </c>
      <c r="I17" s="22" t="s">
        <v>131</v>
      </c>
    </row>
    <row r="18" customFormat="false" ht="57" hidden="false" customHeight="true" outlineLevel="0" collapsed="false">
      <c r="B18" s="21" t="s">
        <v>52</v>
      </c>
      <c r="C18" s="22" t="s">
        <v>53</v>
      </c>
      <c r="D18" s="21" t="s">
        <v>54</v>
      </c>
      <c r="E18" s="24" t="n">
        <v>51000</v>
      </c>
      <c r="F18" s="24" t="n">
        <v>2776200</v>
      </c>
      <c r="G18" s="61" t="n">
        <v>0.923331736909323</v>
      </c>
      <c r="H18" s="62" t="s">
        <v>130</v>
      </c>
      <c r="I18" s="22" t="s">
        <v>131</v>
      </c>
    </row>
    <row r="19" customFormat="false" ht="57" hidden="false" customHeight="true" outlineLevel="0" collapsed="false">
      <c r="B19" s="21" t="s">
        <v>71</v>
      </c>
      <c r="C19" s="22" t="s">
        <v>72</v>
      </c>
      <c r="D19" s="21" t="s">
        <v>68</v>
      </c>
      <c r="E19" s="24" t="n">
        <v>43200</v>
      </c>
      <c r="F19" s="24" t="n">
        <v>2819400</v>
      </c>
      <c r="G19" s="61" t="n">
        <v>0.937699553001277</v>
      </c>
      <c r="H19" s="62" t="s">
        <v>130</v>
      </c>
      <c r="I19" s="22" t="s">
        <v>131</v>
      </c>
    </row>
    <row r="20" customFormat="false" ht="57" hidden="false" customHeight="true" outlineLevel="0" collapsed="false">
      <c r="B20" s="63" t="s">
        <v>55</v>
      </c>
      <c r="C20" s="64" t="s">
        <v>56</v>
      </c>
      <c r="D20" s="63" t="s">
        <v>54</v>
      </c>
      <c r="E20" s="65" t="n">
        <v>39600</v>
      </c>
      <c r="F20" s="65" t="n">
        <v>2859000</v>
      </c>
      <c r="G20" s="66" t="n">
        <v>0.950870051085568</v>
      </c>
      <c r="H20" s="67" t="s">
        <v>132</v>
      </c>
      <c r="I20" s="64" t="s">
        <v>133</v>
      </c>
    </row>
    <row r="21" customFormat="false" ht="57" hidden="false" customHeight="true" outlineLevel="0" collapsed="false">
      <c r="B21" s="63" t="s">
        <v>64</v>
      </c>
      <c r="C21" s="64" t="s">
        <v>65</v>
      </c>
      <c r="D21" s="63" t="s">
        <v>61</v>
      </c>
      <c r="E21" s="65" t="n">
        <v>34200</v>
      </c>
      <c r="F21" s="65" t="n">
        <v>2893200</v>
      </c>
      <c r="G21" s="66" t="n">
        <v>0.962244572158365</v>
      </c>
      <c r="H21" s="67" t="s">
        <v>132</v>
      </c>
      <c r="I21" s="64" t="s">
        <v>133</v>
      </c>
    </row>
    <row r="22" customFormat="false" ht="57" hidden="false" customHeight="true" outlineLevel="0" collapsed="false">
      <c r="B22" s="63" t="s">
        <v>62</v>
      </c>
      <c r="C22" s="64" t="s">
        <v>63</v>
      </c>
      <c r="D22" s="63" t="s">
        <v>61</v>
      </c>
      <c r="E22" s="65" t="n">
        <v>33600</v>
      </c>
      <c r="F22" s="65" t="n">
        <v>2926800</v>
      </c>
      <c r="G22" s="66" t="n">
        <v>0.973419540229885</v>
      </c>
      <c r="H22" s="67" t="s">
        <v>132</v>
      </c>
      <c r="I22" s="64" t="s">
        <v>133</v>
      </c>
    </row>
    <row r="23" customFormat="false" ht="57" hidden="false" customHeight="true" outlineLevel="0" collapsed="false">
      <c r="B23" s="63" t="s">
        <v>73</v>
      </c>
      <c r="C23" s="64" t="s">
        <v>74</v>
      </c>
      <c r="D23" s="63" t="s">
        <v>39</v>
      </c>
      <c r="E23" s="65" t="n">
        <v>28800</v>
      </c>
      <c r="F23" s="65" t="n">
        <v>2955600</v>
      </c>
      <c r="G23" s="66" t="n">
        <v>0.982998084291188</v>
      </c>
      <c r="H23" s="67" t="s">
        <v>132</v>
      </c>
      <c r="I23" s="64" t="s">
        <v>133</v>
      </c>
    </row>
    <row r="24" customFormat="false" ht="57" hidden="false" customHeight="true" outlineLevel="0" collapsed="false">
      <c r="B24" s="63" t="s">
        <v>45</v>
      </c>
      <c r="C24" s="64" t="s">
        <v>46</v>
      </c>
      <c r="D24" s="63" t="s">
        <v>47</v>
      </c>
      <c r="E24" s="65" t="n">
        <v>17280</v>
      </c>
      <c r="F24" s="65" t="n">
        <v>2972880</v>
      </c>
      <c r="G24" s="66" t="n">
        <v>0.988745210727969</v>
      </c>
      <c r="H24" s="67" t="s">
        <v>132</v>
      </c>
      <c r="I24" s="64" t="s">
        <v>133</v>
      </c>
    </row>
    <row r="25" customFormat="false" ht="57" hidden="false" customHeight="true" outlineLevel="0" collapsed="false">
      <c r="B25" s="63" t="s">
        <v>77</v>
      </c>
      <c r="C25" s="64" t="s">
        <v>78</v>
      </c>
      <c r="D25" s="63" t="s">
        <v>54</v>
      </c>
      <c r="E25" s="65" t="n">
        <v>17280</v>
      </c>
      <c r="F25" s="65" t="n">
        <v>2990160</v>
      </c>
      <c r="G25" s="66" t="n">
        <v>0.994492337164751</v>
      </c>
      <c r="H25" s="67" t="s">
        <v>132</v>
      </c>
      <c r="I25" s="64" t="s">
        <v>133</v>
      </c>
    </row>
    <row r="26" customFormat="false" ht="57" hidden="false" customHeight="true" outlineLevel="0" collapsed="false">
      <c r="B26" s="63" t="s">
        <v>75</v>
      </c>
      <c r="C26" s="64" t="s">
        <v>76</v>
      </c>
      <c r="D26" s="63" t="s">
        <v>47</v>
      </c>
      <c r="E26" s="65" t="n">
        <v>10560</v>
      </c>
      <c r="F26" s="65" t="n">
        <v>3000720</v>
      </c>
      <c r="G26" s="66" t="n">
        <v>0.998004469987229</v>
      </c>
      <c r="H26" s="67" t="s">
        <v>132</v>
      </c>
      <c r="I26" s="64" t="s">
        <v>133</v>
      </c>
    </row>
    <row r="27" customFormat="false" ht="57" hidden="false" customHeight="true" outlineLevel="0" collapsed="false">
      <c r="B27" s="63" t="s">
        <v>50</v>
      </c>
      <c r="C27" s="64" t="s">
        <v>51</v>
      </c>
      <c r="D27" s="63" t="s">
        <v>47</v>
      </c>
      <c r="E27" s="65" t="n">
        <v>6000</v>
      </c>
      <c r="F27" s="65" t="n">
        <v>3006720</v>
      </c>
      <c r="G27" s="66" t="n">
        <v>1</v>
      </c>
      <c r="H27" s="67" t="s">
        <v>132</v>
      </c>
      <c r="I27" s="64" t="s">
        <v>133</v>
      </c>
    </row>
    <row r="28" customFormat="false" ht="15" hidden="false" customHeight="true" outlineLevel="0" collapsed="false">
      <c r="B28" s="47" t="s">
        <v>134</v>
      </c>
      <c r="C28" s="47"/>
      <c r="D28" s="47"/>
      <c r="E28" s="42" t="n">
        <v>3006720</v>
      </c>
      <c r="F28" s="41"/>
      <c r="G28" s="41"/>
      <c r="H28" s="41"/>
      <c r="I28" s="41"/>
    </row>
  </sheetData>
  <mergeCells count="18">
    <mergeCell ref="B1:I1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7" min="4" style="1" width="16"/>
    <col collapsed="false" customWidth="true" hidden="false" outlineLevel="0" max="11" min="8" style="1" width="18"/>
    <col collapsed="false" customWidth="true" hidden="false" outlineLevel="0" max="12" min="12" style="1" width="3"/>
  </cols>
  <sheetData>
    <row r="1" customFormat="false" ht="15.75" hidden="false" customHeight="true" outlineLevel="0" collapsed="false">
      <c r="B1" s="9" t="s">
        <v>135</v>
      </c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true" outlineLevel="0" collapsed="false">
      <c r="B2" s="43" t="s">
        <v>136</v>
      </c>
      <c r="C2" s="43"/>
      <c r="D2" s="43"/>
      <c r="E2" s="43"/>
      <c r="F2" s="43" t="s">
        <v>137</v>
      </c>
      <c r="G2" s="43"/>
      <c r="H2" s="43"/>
      <c r="I2" s="43"/>
      <c r="J2" s="43"/>
      <c r="K2" s="43"/>
    </row>
    <row r="3" customFormat="false" ht="15" hidden="false" customHeight="true" outlineLevel="0" collapsed="false">
      <c r="B3" s="45" t="s">
        <v>138</v>
      </c>
      <c r="C3" s="45"/>
      <c r="D3" s="45"/>
      <c r="E3" s="45"/>
      <c r="F3" s="45"/>
      <c r="G3" s="45"/>
      <c r="H3" s="45"/>
      <c r="I3" s="45"/>
      <c r="J3" s="45"/>
      <c r="K3" s="45"/>
    </row>
    <row r="4" customFormat="false" ht="15" hidden="false" customHeight="true" outlineLevel="0" collapsed="false">
      <c r="B4" s="68" t="s">
        <v>139</v>
      </c>
      <c r="C4" s="68"/>
      <c r="D4" s="68"/>
      <c r="E4" s="69" t="n">
        <v>0.95</v>
      </c>
      <c r="F4" s="68" t="s">
        <v>140</v>
      </c>
      <c r="G4" s="68"/>
      <c r="H4" s="70" t="n">
        <v>1.65</v>
      </c>
    </row>
    <row r="5" customFormat="false" ht="39.75" hidden="false" customHeight="true" outlineLevel="0" collapsed="false">
      <c r="B5" s="46" t="s">
        <v>29</v>
      </c>
      <c r="C5" s="46" t="s">
        <v>30</v>
      </c>
      <c r="D5" s="46" t="s">
        <v>141</v>
      </c>
      <c r="E5" s="46" t="s">
        <v>142</v>
      </c>
      <c r="F5" s="46" t="s">
        <v>143</v>
      </c>
      <c r="G5" s="46" t="s">
        <v>144</v>
      </c>
      <c r="H5" s="46" t="s">
        <v>145</v>
      </c>
      <c r="I5" s="46" t="s">
        <v>146</v>
      </c>
      <c r="J5" s="46" t="s">
        <v>147</v>
      </c>
      <c r="K5" s="46" t="s">
        <v>148</v>
      </c>
    </row>
    <row r="6" customFormat="false" ht="15" hidden="false" customHeight="true" outlineLevel="0" collapsed="false">
      <c r="B6" s="71" t="s">
        <v>37</v>
      </c>
      <c r="C6" s="72" t="s">
        <v>149</v>
      </c>
      <c r="D6" s="71" t="n">
        <v>3.3</v>
      </c>
      <c r="E6" s="71" t="n">
        <v>0.8</v>
      </c>
      <c r="F6" s="71" t="n">
        <v>7</v>
      </c>
      <c r="G6" s="71" t="n">
        <v>14</v>
      </c>
      <c r="H6" s="13" t="n">
        <f aca="false">ROUND($H$4*E6*SQRT(F6),0)</f>
        <v>3</v>
      </c>
      <c r="I6" s="13" t="n">
        <f aca="false">ROUND(D6*F6+H6,0)</f>
        <v>26</v>
      </c>
      <c r="J6" s="71" t="n">
        <f aca="false">ROUND(D6*7,1)</f>
        <v>23.1</v>
      </c>
      <c r="K6" s="73" t="n">
        <f aca="false">I6*45</f>
        <v>1170</v>
      </c>
    </row>
    <row r="7" customFormat="false" ht="15" hidden="false" customHeight="true" outlineLevel="0" collapsed="false">
      <c r="B7" s="71" t="s">
        <v>40</v>
      </c>
      <c r="C7" s="72" t="s">
        <v>150</v>
      </c>
      <c r="D7" s="71" t="n">
        <v>6.6</v>
      </c>
      <c r="E7" s="71" t="n">
        <v>1.5</v>
      </c>
      <c r="F7" s="71" t="n">
        <v>5</v>
      </c>
      <c r="G7" s="71" t="n">
        <v>10</v>
      </c>
      <c r="H7" s="13" t="n">
        <f aca="false">ROUND($H$4*E7*SQRT(F7),0)</f>
        <v>6</v>
      </c>
      <c r="I7" s="13" t="n">
        <f aca="false">ROUND(D7*F7+H7,0)</f>
        <v>39</v>
      </c>
      <c r="J7" s="71" t="n">
        <f aca="false">ROUND(D7*7,1)</f>
        <v>46.2</v>
      </c>
      <c r="K7" s="73" t="n">
        <f aca="false">I7*38.5</f>
        <v>1501.5</v>
      </c>
    </row>
    <row r="8" customFormat="false" ht="15" hidden="false" customHeight="true" outlineLevel="0" collapsed="false">
      <c r="B8" s="71" t="s">
        <v>43</v>
      </c>
      <c r="C8" s="72" t="s">
        <v>151</v>
      </c>
      <c r="D8" s="71" t="n">
        <v>9.9</v>
      </c>
      <c r="E8" s="71" t="n">
        <v>2.2</v>
      </c>
      <c r="F8" s="71" t="n">
        <v>5</v>
      </c>
      <c r="G8" s="71" t="n">
        <v>10</v>
      </c>
      <c r="H8" s="13" t="n">
        <f aca="false">ROUND($H$4*E8*SQRT(F8),0)</f>
        <v>8</v>
      </c>
      <c r="I8" s="13" t="n">
        <f aca="false">ROUND(D8*F8+H8,0)</f>
        <v>58</v>
      </c>
      <c r="J8" s="71" t="n">
        <f aca="false">ROUND(D8*7,1)</f>
        <v>69.3</v>
      </c>
      <c r="K8" s="73" t="n">
        <f aca="false">I8*22</f>
        <v>1276</v>
      </c>
    </row>
    <row r="9" customFormat="false" ht="15" hidden="false" customHeight="true" outlineLevel="0" collapsed="false">
      <c r="B9" s="71" t="s">
        <v>45</v>
      </c>
      <c r="C9" s="72" t="s">
        <v>152</v>
      </c>
      <c r="D9" s="71" t="n">
        <v>2.6</v>
      </c>
      <c r="E9" s="71" t="n">
        <v>0.6</v>
      </c>
      <c r="F9" s="71" t="n">
        <v>10</v>
      </c>
      <c r="G9" s="71" t="n">
        <v>21</v>
      </c>
      <c r="H9" s="13" t="n">
        <f aca="false">ROUND($H$4*E9*SQRT(F9),0)</f>
        <v>3</v>
      </c>
      <c r="I9" s="13" t="n">
        <f aca="false">ROUND(D9*F9+H9,0)</f>
        <v>29</v>
      </c>
      <c r="J9" s="71" t="n">
        <f aca="false">ROUND(D9*7,1)</f>
        <v>18.2</v>
      </c>
      <c r="K9" s="73" t="n">
        <f aca="false">I9*18</f>
        <v>522</v>
      </c>
    </row>
    <row r="10" customFormat="false" ht="15" hidden="false" customHeight="true" outlineLevel="0" collapsed="false">
      <c r="B10" s="71" t="s">
        <v>48</v>
      </c>
      <c r="C10" s="72" t="s">
        <v>153</v>
      </c>
      <c r="D10" s="71" t="n">
        <v>0.66</v>
      </c>
      <c r="E10" s="71" t="n">
        <v>0.2</v>
      </c>
      <c r="F10" s="71" t="n">
        <v>14</v>
      </c>
      <c r="G10" s="71" t="n">
        <v>28</v>
      </c>
      <c r="H10" s="13" t="n">
        <f aca="false">ROUND($H$4*E10*SQRT(F10),0)</f>
        <v>1</v>
      </c>
      <c r="I10" s="13" t="n">
        <f aca="false">ROUND(D10*F10+H10,0)</f>
        <v>10</v>
      </c>
      <c r="J10" s="71" t="n">
        <f aca="false">ROUND(D10*7,1)</f>
        <v>4.6</v>
      </c>
      <c r="K10" s="73" t="n">
        <f aca="false">I10*320</f>
        <v>3200</v>
      </c>
    </row>
    <row r="11" customFormat="false" ht="15" hidden="false" customHeight="true" outlineLevel="0" collapsed="false">
      <c r="B11" s="71" t="s">
        <v>52</v>
      </c>
      <c r="C11" s="72" t="s">
        <v>154</v>
      </c>
      <c r="D11" s="71" t="n">
        <v>1.64</v>
      </c>
      <c r="E11" s="71" t="n">
        <v>0.4</v>
      </c>
      <c r="F11" s="71" t="n">
        <v>7</v>
      </c>
      <c r="G11" s="71" t="n">
        <v>14</v>
      </c>
      <c r="H11" s="13" t="n">
        <f aca="false">ROUND($H$4*E11*SQRT(F11),0)</f>
        <v>2</v>
      </c>
      <c r="I11" s="13" t="n">
        <f aca="false">ROUND(D11*F11+H11,0)</f>
        <v>13</v>
      </c>
      <c r="J11" s="71" t="n">
        <f aca="false">ROUND(D11*7,1)</f>
        <v>11.5</v>
      </c>
      <c r="K11" s="73" t="n">
        <f aca="false">I11*85</f>
        <v>1105</v>
      </c>
    </row>
    <row r="12" customFormat="false" ht="15" hidden="false" customHeight="true" outlineLevel="0" collapsed="false">
      <c r="B12" s="71" t="s">
        <v>57</v>
      </c>
      <c r="C12" s="72" t="s">
        <v>155</v>
      </c>
      <c r="D12" s="71" t="n">
        <v>0.49</v>
      </c>
      <c r="E12" s="71" t="n">
        <v>0.1</v>
      </c>
      <c r="F12" s="71" t="n">
        <v>3</v>
      </c>
      <c r="G12" s="71" t="n">
        <v>5</v>
      </c>
      <c r="H12" s="13" t="n">
        <f aca="false">ROUND($H$4*E12*SQRT(F12),0)</f>
        <v>0</v>
      </c>
      <c r="I12" s="13" t="n">
        <f aca="false">ROUND(D12*F12+H12,0)</f>
        <v>1</v>
      </c>
      <c r="J12" s="71" t="n">
        <f aca="false">ROUND(D12*7,1)</f>
        <v>3.4</v>
      </c>
      <c r="K12" s="73" t="n">
        <f aca="false">I12*8500</f>
        <v>8500</v>
      </c>
    </row>
    <row r="13" customFormat="false" ht="15" hidden="false" customHeight="true" outlineLevel="0" collapsed="false">
      <c r="B13" s="71" t="s">
        <v>59</v>
      </c>
      <c r="C13" s="72" t="s">
        <v>156</v>
      </c>
      <c r="D13" s="71" t="n">
        <v>0.16</v>
      </c>
      <c r="E13" s="71" t="n">
        <v>0.05</v>
      </c>
      <c r="F13" s="71" t="n">
        <v>30</v>
      </c>
      <c r="G13" s="71" t="n">
        <v>45</v>
      </c>
      <c r="H13" s="13" t="n">
        <f aca="false">ROUND($H$4*E13*SQRT(F13),0)</f>
        <v>0</v>
      </c>
      <c r="I13" s="13" t="n">
        <f aca="false">ROUND(D13*F13+H13,0)</f>
        <v>5</v>
      </c>
      <c r="J13" s="71" t="n">
        <f aca="false">ROUND(D13*7,1)</f>
        <v>1.1</v>
      </c>
      <c r="K13" s="73" t="n">
        <f aca="false">I13*4200</f>
        <v>21000</v>
      </c>
    </row>
    <row r="14" customFormat="false" ht="15" hidden="false" customHeight="true" outlineLevel="0" collapsed="false">
      <c r="B14" s="71" t="s">
        <v>62</v>
      </c>
      <c r="C14" s="72" t="s">
        <v>157</v>
      </c>
      <c r="D14" s="71" t="n">
        <v>0.33</v>
      </c>
      <c r="E14" s="71" t="n">
        <v>0.08</v>
      </c>
      <c r="F14" s="71" t="n">
        <v>14</v>
      </c>
      <c r="G14" s="71" t="n">
        <v>21</v>
      </c>
      <c r="H14" s="13" t="n">
        <f aca="false">ROUND($H$4*E14*SQRT(F14),0)</f>
        <v>0</v>
      </c>
      <c r="I14" s="13" t="n">
        <f aca="false">ROUND(D14*F14+H14,0)</f>
        <v>5</v>
      </c>
      <c r="J14" s="71" t="n">
        <f aca="false">ROUND(D14*7,1)</f>
        <v>2.3</v>
      </c>
      <c r="K14" s="73" t="n">
        <f aca="false">I14*280</f>
        <v>1400</v>
      </c>
    </row>
    <row r="15" customFormat="false" ht="15" hidden="false" customHeight="true" outlineLevel="0" collapsed="false">
      <c r="B15" s="71" t="s">
        <v>66</v>
      </c>
      <c r="C15" s="72" t="s">
        <v>158</v>
      </c>
      <c r="D15" s="71" t="n">
        <v>4.93</v>
      </c>
      <c r="E15" s="71" t="n">
        <v>1</v>
      </c>
      <c r="F15" s="71" t="n">
        <v>7</v>
      </c>
      <c r="G15" s="71" t="n">
        <v>14</v>
      </c>
      <c r="H15" s="13" t="n">
        <f aca="false">ROUND($H$4*E15*SQRT(F15),0)</f>
        <v>4</v>
      </c>
      <c r="I15" s="13" t="n">
        <f aca="false">ROUND(D15*F15+H15,0)</f>
        <v>39</v>
      </c>
      <c r="J15" s="71" t="n">
        <f aca="false">ROUND(D15*7,1)</f>
        <v>34.5</v>
      </c>
      <c r="K15" s="73" t="n">
        <f aca="false">I15*175</f>
        <v>6825</v>
      </c>
    </row>
    <row r="16" customFormat="false" ht="15" hidden="false" customHeight="true" outlineLevel="0" collapsed="false">
      <c r="B16" s="71" t="s">
        <v>69</v>
      </c>
      <c r="C16" s="72" t="s">
        <v>159</v>
      </c>
      <c r="D16" s="71" t="n">
        <v>6.58</v>
      </c>
      <c r="E16" s="71" t="n">
        <v>1.5</v>
      </c>
      <c r="F16" s="71" t="n">
        <v>3</v>
      </c>
      <c r="G16" s="71" t="n">
        <v>7</v>
      </c>
      <c r="H16" s="13" t="n">
        <f aca="false">ROUND($H$4*E16*SQRT(F16),0)</f>
        <v>4</v>
      </c>
      <c r="I16" s="13" t="n">
        <f aca="false">ROUND(D16*F16+H16,0)</f>
        <v>24</v>
      </c>
      <c r="J16" s="71" t="n">
        <f aca="false">ROUND(D16*7,1)</f>
        <v>46.1</v>
      </c>
      <c r="K16" s="73" t="n">
        <f aca="false">I16*28</f>
        <v>672</v>
      </c>
    </row>
    <row r="17" customFormat="false" ht="15" hidden="false" customHeight="true" outlineLevel="0" collapsed="false">
      <c r="B17" s="71" t="s">
        <v>71</v>
      </c>
      <c r="C17" s="72" t="s">
        <v>160</v>
      </c>
      <c r="D17" s="71" t="n">
        <v>1.64</v>
      </c>
      <c r="E17" s="71" t="n">
        <v>0.3</v>
      </c>
      <c r="F17" s="71" t="n">
        <v>5</v>
      </c>
      <c r="G17" s="71" t="n">
        <v>10</v>
      </c>
      <c r="H17" s="13" t="n">
        <f aca="false">ROUND($H$4*E17*SQRT(F17),0)</f>
        <v>1</v>
      </c>
      <c r="I17" s="13" t="n">
        <f aca="false">ROUND(D17*F17+H17,0)</f>
        <v>9</v>
      </c>
      <c r="J17" s="71" t="n">
        <f aca="false">ROUND(D17*7,1)</f>
        <v>11.5</v>
      </c>
      <c r="K17" s="73" t="n">
        <f aca="false">I17*72</f>
        <v>648</v>
      </c>
    </row>
    <row r="19" customFormat="false" ht="15" hidden="false" customHeight="true" outlineLevel="0" collapsed="false">
      <c r="B19" s="74" t="s">
        <v>161</v>
      </c>
      <c r="C19" s="74"/>
      <c r="D19" s="74"/>
      <c r="E19" s="74"/>
      <c r="F19" s="74"/>
      <c r="G19" s="74"/>
      <c r="H19" s="74"/>
      <c r="I19" s="74"/>
      <c r="J19" s="74"/>
      <c r="K19" s="74"/>
    </row>
  </sheetData>
  <mergeCells count="7">
    <mergeCell ref="B1:K1"/>
    <mergeCell ref="B2:E2"/>
    <mergeCell ref="F2:K2"/>
    <mergeCell ref="B3:K3"/>
    <mergeCell ref="B4:D4"/>
    <mergeCell ref="F4:G4"/>
    <mergeCell ref="B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2" min="2" style="1" width="14"/>
    <col collapsed="false" customWidth="true" hidden="false" outlineLevel="0" max="13" min="13" style="1" width="2"/>
  </cols>
  <sheetData>
    <row r="1" customFormat="false" ht="15.75" hidden="false" customHeight="true" outlineLevel="0" collapsed="false">
      <c r="B1" s="9" t="s">
        <v>162</v>
      </c>
      <c r="C1" s="9"/>
      <c r="D1" s="9"/>
      <c r="E1" s="9"/>
      <c r="F1" s="9"/>
      <c r="G1" s="9"/>
      <c r="H1" s="9"/>
      <c r="I1" s="9"/>
      <c r="J1" s="9"/>
      <c r="K1" s="9"/>
      <c r="L1" s="9"/>
    </row>
    <row r="3" customFormat="false" ht="15" hidden="false" customHeight="true" outlineLevel="0" collapsed="false">
      <c r="B3" s="75" t="s">
        <v>163</v>
      </c>
      <c r="C3" s="75"/>
      <c r="D3" s="75" t="s">
        <v>164</v>
      </c>
      <c r="E3" s="75"/>
      <c r="F3" s="75" t="s">
        <v>165</v>
      </c>
      <c r="G3" s="75"/>
      <c r="H3" s="75" t="s">
        <v>166</v>
      </c>
      <c r="I3" s="75"/>
      <c r="J3" s="75" t="s">
        <v>167</v>
      </c>
      <c r="K3" s="75"/>
    </row>
    <row r="4" customFormat="false" ht="17.25" hidden="false" customHeight="true" outlineLevel="0" collapsed="false">
      <c r="B4" s="76" t="s">
        <v>168</v>
      </c>
      <c r="C4" s="76"/>
      <c r="D4" s="76" t="s">
        <v>169</v>
      </c>
      <c r="E4" s="76"/>
      <c r="F4" s="76" t="s">
        <v>170</v>
      </c>
      <c r="G4" s="76"/>
      <c r="H4" s="76" t="s">
        <v>171</v>
      </c>
      <c r="I4" s="76"/>
      <c r="J4" s="76" t="s">
        <v>172</v>
      </c>
      <c r="K4" s="76"/>
    </row>
    <row r="5" customFormat="false" ht="15" hidden="false" customHeight="true" outlineLevel="0" collapsed="false">
      <c r="B5" s="77" t="s">
        <v>173</v>
      </c>
      <c r="C5" s="77"/>
      <c r="D5" s="77" t="s">
        <v>174</v>
      </c>
      <c r="E5" s="77"/>
      <c r="F5" s="77" t="s">
        <v>175</v>
      </c>
      <c r="G5" s="77"/>
      <c r="H5" s="77" t="s">
        <v>176</v>
      </c>
      <c r="I5" s="77"/>
      <c r="J5" s="77" t="s">
        <v>177</v>
      </c>
      <c r="K5" s="77"/>
    </row>
    <row r="8" customFormat="false" ht="15" hidden="false" customHeight="true" outlineLevel="0" collapsed="false">
      <c r="B8" s="6" t="s">
        <v>178</v>
      </c>
      <c r="C8" s="6"/>
      <c r="D8" s="6"/>
      <c r="E8" s="6"/>
      <c r="F8" s="6"/>
      <c r="G8" s="6"/>
    </row>
    <row r="9" customFormat="false" ht="21.75" hidden="false" customHeight="true" outlineLevel="0" collapsed="false">
      <c r="B9" s="46" t="s">
        <v>179</v>
      </c>
      <c r="C9" s="46" t="s">
        <v>180</v>
      </c>
      <c r="D9" s="46" t="s">
        <v>181</v>
      </c>
      <c r="E9" s="46" t="s">
        <v>110</v>
      </c>
      <c r="F9" s="46" t="s">
        <v>182</v>
      </c>
      <c r="G9" s="46" t="s">
        <v>183</v>
      </c>
    </row>
    <row r="10" customFormat="false" ht="45.75" hidden="false" customHeight="true" outlineLevel="0" collapsed="false">
      <c r="B10" s="78" t="s">
        <v>184</v>
      </c>
      <c r="C10" s="11" t="n">
        <v>4</v>
      </c>
      <c r="D10" s="13" t="n">
        <v>3440600</v>
      </c>
      <c r="E10" s="59" t="n">
        <v>0.801</v>
      </c>
      <c r="F10" s="11" t="s">
        <v>185</v>
      </c>
      <c r="G10" s="12" t="s">
        <v>186</v>
      </c>
    </row>
    <row r="11" customFormat="false" ht="34.5" hidden="false" customHeight="true" outlineLevel="0" collapsed="false">
      <c r="B11" s="79" t="s">
        <v>187</v>
      </c>
      <c r="C11" s="21" t="n">
        <v>5</v>
      </c>
      <c r="D11" s="23" t="n">
        <v>632730</v>
      </c>
      <c r="E11" s="61" t="n">
        <v>0.147</v>
      </c>
      <c r="F11" s="21" t="s">
        <v>188</v>
      </c>
      <c r="G11" s="22" t="s">
        <v>189</v>
      </c>
    </row>
    <row r="12" customFormat="false" ht="34.5" hidden="false" customHeight="true" outlineLevel="0" collapsed="false">
      <c r="B12" s="80" t="s">
        <v>190</v>
      </c>
      <c r="C12" s="63" t="n">
        <v>11</v>
      </c>
      <c r="D12" s="81" t="n">
        <v>220650</v>
      </c>
      <c r="E12" s="66" t="n">
        <v>0.052</v>
      </c>
      <c r="F12" s="63" t="s">
        <v>191</v>
      </c>
      <c r="G12" s="64" t="s">
        <v>192</v>
      </c>
    </row>
    <row r="15" customFormat="false" ht="15" hidden="false" customHeight="true" outlineLevel="0" collapsed="false">
      <c r="B15" s="6" t="s">
        <v>193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23.25" hidden="false" customHeight="true" outlineLevel="0" collapsed="false">
      <c r="B16" s="67" t="s">
        <v>194</v>
      </c>
      <c r="C16" s="82" t="s">
        <v>195</v>
      </c>
      <c r="D16" s="82"/>
      <c r="E16" s="83" t="s">
        <v>196</v>
      </c>
      <c r="F16" s="83"/>
      <c r="G16" s="83"/>
      <c r="H16" s="83"/>
      <c r="I16" s="83"/>
      <c r="J16" s="83"/>
      <c r="K16" s="83"/>
      <c r="L16" s="83"/>
    </row>
    <row r="17" customFormat="false" ht="23.25" hidden="false" customHeight="true" outlineLevel="0" collapsed="false">
      <c r="B17" s="67" t="s">
        <v>194</v>
      </c>
      <c r="C17" s="82" t="s">
        <v>197</v>
      </c>
      <c r="D17" s="82"/>
      <c r="E17" s="83" t="s">
        <v>198</v>
      </c>
      <c r="F17" s="83"/>
      <c r="G17" s="83"/>
      <c r="H17" s="83"/>
      <c r="I17" s="83"/>
      <c r="J17" s="83"/>
      <c r="K17" s="83"/>
      <c r="L17" s="83"/>
    </row>
    <row r="18" customFormat="false" ht="23.25" hidden="false" customHeight="true" outlineLevel="0" collapsed="false">
      <c r="B18" s="62" t="s">
        <v>199</v>
      </c>
      <c r="C18" s="84" t="s">
        <v>200</v>
      </c>
      <c r="D18" s="84"/>
      <c r="E18" s="85" t="s">
        <v>201</v>
      </c>
      <c r="F18" s="85"/>
      <c r="G18" s="85"/>
      <c r="H18" s="85"/>
      <c r="I18" s="85"/>
      <c r="J18" s="85"/>
      <c r="K18" s="85"/>
      <c r="L18" s="85"/>
    </row>
    <row r="19" customFormat="false" ht="15" hidden="false" customHeight="true" outlineLevel="0" collapsed="false">
      <c r="B19" s="60" t="s">
        <v>202</v>
      </c>
      <c r="C19" s="86" t="s">
        <v>203</v>
      </c>
      <c r="D19" s="86"/>
      <c r="E19" s="87" t="s">
        <v>204</v>
      </c>
      <c r="F19" s="87"/>
      <c r="G19" s="87"/>
      <c r="H19" s="87"/>
      <c r="I19" s="87"/>
      <c r="J19" s="87"/>
      <c r="K19" s="87"/>
      <c r="L19" s="87"/>
    </row>
    <row r="20" customFormat="false" ht="15" hidden="false" customHeight="true" outlineLevel="0" collapsed="false">
      <c r="B20" s="88" t="s">
        <v>205</v>
      </c>
      <c r="C20" s="89" t="s">
        <v>206</v>
      </c>
      <c r="D20" s="89"/>
      <c r="E20" s="90" t="s">
        <v>207</v>
      </c>
      <c r="F20" s="90"/>
      <c r="G20" s="90"/>
      <c r="H20" s="90"/>
      <c r="I20" s="90"/>
      <c r="J20" s="90"/>
      <c r="K20" s="90"/>
      <c r="L20" s="90"/>
    </row>
    <row r="22" customFormat="false" ht="23.25" hidden="false" customHeight="true" outlineLevel="0" collapsed="false">
      <c r="B22" s="8" t="s">
        <v>208</v>
      </c>
      <c r="C22" s="8"/>
      <c r="D22" s="8"/>
      <c r="E22" s="8"/>
      <c r="F22" s="8"/>
      <c r="G22" s="8"/>
      <c r="H22" s="8"/>
      <c r="I22" s="8"/>
      <c r="J22" s="8"/>
      <c r="K22" s="8"/>
      <c r="L22" s="8"/>
    </row>
  </sheetData>
  <mergeCells count="29">
    <mergeCell ref="B1:L1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8:G8"/>
    <mergeCell ref="B15:L15"/>
    <mergeCell ref="C16:D16"/>
    <mergeCell ref="E16:L16"/>
    <mergeCell ref="C17:D17"/>
    <mergeCell ref="E17:L17"/>
    <mergeCell ref="C18:D18"/>
    <mergeCell ref="E18:L18"/>
    <mergeCell ref="C19:D19"/>
    <mergeCell ref="E19:L19"/>
    <mergeCell ref="C20:D20"/>
    <mergeCell ref="E20:L20"/>
    <mergeCell ref="B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2026-06-03T22:28:58Z</dcterms:created>
  <dc:creator>openpyxl</dc:creator>
  <dc:description/>
  <dc:language>en-US</dc:language>
  <cp:lastModifiedBy/>
  <dcterms:modified xsi:type="dcterms:W3CDTF">2026-06-03T22:29:23Z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